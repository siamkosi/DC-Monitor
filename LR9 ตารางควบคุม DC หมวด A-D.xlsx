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9ae2d226c11820/27 ENG/3 PROJECTS/3 โครงการกำลังดำเนินการ/2569_03 -Life Ratchada-Rama 9/2 เอ็ม/"/>
    </mc:Choice>
  </mc:AlternateContent>
  <xr:revisionPtr revIDLastSave="282" documentId="13_ncr:1_{A0A634DD-AD54-4257-B2DB-8E559AD60AFC}" xr6:coauthVersionLast="47" xr6:coauthVersionMax="47" xr10:uidLastSave="{1C29EED2-F036-4187-803D-D5D7AC5600D2}"/>
  <bookViews>
    <workbookView xWindow="-108" yWindow="-108" windowWidth="23256" windowHeight="12576" tabRatio="802" xr2:uid="{242475AA-A2F7-4840-9027-91F146FB782A}"/>
  </bookViews>
  <sheets>
    <sheet name="DC หมวด A-D" sheetId="4" r:id="rId1"/>
    <sheet name="Backup" sheetId="5" r:id="rId2"/>
    <sheet name="Feb26" sheetId="6" r:id="rId3"/>
    <sheet name="Mar26" sheetId="7" r:id="rId4"/>
    <sheet name="Apr26" sheetId="8" r:id="rId5"/>
    <sheet name="May26" sheetId="9" r:id="rId6"/>
    <sheet name="Jun26" sheetId="10" r:id="rId7"/>
    <sheet name="Jul26" sheetId="11" r:id="rId8"/>
  </sheets>
  <definedNames>
    <definedName name="_xlnm.Print_Area" localSheetId="4">'Apr26'!$B$2:$P$91</definedName>
    <definedName name="_xlnm.Print_Area" localSheetId="1">Backup!$B$88:$S$102</definedName>
    <definedName name="_xlnm.Print_Area" localSheetId="0">'DC หมวด A-D'!$B$2:$W$46</definedName>
    <definedName name="_xlnm.Print_Area" localSheetId="2">'Feb26'!$B$2:$P$91</definedName>
    <definedName name="_xlnm.Print_Area" localSheetId="7">'Jul26'!$B$2:$P$91</definedName>
    <definedName name="_xlnm.Print_Area" localSheetId="6">'Jun26'!$B$2:$P$91</definedName>
    <definedName name="_xlnm.Print_Area" localSheetId="3">'Mar26'!$B$2:$P$91</definedName>
    <definedName name="_xlnm.Print_Area" localSheetId="5">'May26'!$B$2:$P$91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" i="4" l="1"/>
  <c r="I41" i="4"/>
  <c r="I42" i="4"/>
  <c r="I44" i="4"/>
  <c r="I45" i="4"/>
  <c r="I46" i="4"/>
  <c r="L91" i="11"/>
  <c r="K91" i="11"/>
  <c r="J91" i="11"/>
  <c r="I91" i="11"/>
  <c r="H91" i="11"/>
  <c r="G91" i="11"/>
  <c r="F91" i="11"/>
  <c r="M90" i="11"/>
  <c r="O90" i="11" s="1"/>
  <c r="O89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W11" i="4"/>
  <c r="G44" i="4"/>
  <c r="C56" i="5"/>
  <c r="L91" i="10"/>
  <c r="K91" i="10"/>
  <c r="J91" i="10"/>
  <c r="I91" i="10"/>
  <c r="H91" i="10"/>
  <c r="G91" i="10"/>
  <c r="F91" i="10"/>
  <c r="M90" i="10"/>
  <c r="M89" i="10"/>
  <c r="M88" i="10"/>
  <c r="M87" i="10"/>
  <c r="M86" i="10"/>
  <c r="M85" i="10"/>
  <c r="M84" i="10"/>
  <c r="M83" i="10"/>
  <c r="M82" i="10"/>
  <c r="M81" i="10"/>
  <c r="M80" i="10"/>
  <c r="M79" i="10"/>
  <c r="M78" i="10"/>
  <c r="M77" i="10"/>
  <c r="M76" i="10"/>
  <c r="M75" i="10"/>
  <c r="M74" i="10"/>
  <c r="M73" i="10"/>
  <c r="M72" i="10"/>
  <c r="M71" i="10"/>
  <c r="M70" i="10"/>
  <c r="M69" i="10"/>
  <c r="M68" i="10"/>
  <c r="M67" i="10"/>
  <c r="M66" i="10"/>
  <c r="M65" i="10"/>
  <c r="M64" i="10"/>
  <c r="M63" i="10"/>
  <c r="M62" i="10"/>
  <c r="M61" i="10"/>
  <c r="M60" i="10"/>
  <c r="M59" i="10"/>
  <c r="O59" i="10" s="1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H40" i="4"/>
  <c r="E40" i="4"/>
  <c r="E44" i="4" s="1"/>
  <c r="F40" i="4"/>
  <c r="F44" i="4" s="1"/>
  <c r="G40" i="4"/>
  <c r="D40" i="4"/>
  <c r="D41" i="4" s="1"/>
  <c r="D42" i="4" s="1"/>
  <c r="L91" i="9"/>
  <c r="K91" i="9"/>
  <c r="J91" i="9"/>
  <c r="I91" i="9"/>
  <c r="H91" i="9"/>
  <c r="G91" i="9"/>
  <c r="F91" i="9"/>
  <c r="M90" i="9"/>
  <c r="M89" i="9"/>
  <c r="O89" i="9" s="1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O74" i="9" s="1"/>
  <c r="M73" i="9"/>
  <c r="M72" i="9"/>
  <c r="M71" i="9"/>
  <c r="M70" i="9"/>
  <c r="M69" i="9"/>
  <c r="O69" i="9" s="1"/>
  <c r="M68" i="9"/>
  <c r="M67" i="9"/>
  <c r="M66" i="9"/>
  <c r="M65" i="9"/>
  <c r="M64" i="9"/>
  <c r="M63" i="9"/>
  <c r="M62" i="9"/>
  <c r="M61" i="9"/>
  <c r="M60" i="9"/>
  <c r="M59" i="9"/>
  <c r="O59" i="9" s="1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O41" i="9" s="1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O14" i="9"/>
  <c r="M14" i="9"/>
  <c r="M13" i="9"/>
  <c r="M12" i="9"/>
  <c r="M11" i="9"/>
  <c r="M10" i="9"/>
  <c r="M9" i="9"/>
  <c r="M8" i="9"/>
  <c r="M7" i="9"/>
  <c r="M6" i="9"/>
  <c r="G30" i="4"/>
  <c r="G29" i="4"/>
  <c r="F29" i="4"/>
  <c r="T39" i="5"/>
  <c r="F30" i="4"/>
  <c r="L91" i="8"/>
  <c r="K91" i="8"/>
  <c r="J91" i="8"/>
  <c r="I91" i="8"/>
  <c r="H91" i="8"/>
  <c r="G91" i="8"/>
  <c r="F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O74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O41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S98" i="5"/>
  <c r="S94" i="5"/>
  <c r="S93" i="5"/>
  <c r="S91" i="5"/>
  <c r="S96" i="5" s="1"/>
  <c r="S88" i="5"/>
  <c r="L91" i="7"/>
  <c r="K91" i="7"/>
  <c r="J91" i="7"/>
  <c r="I91" i="7"/>
  <c r="H91" i="7"/>
  <c r="G91" i="7"/>
  <c r="F91" i="7"/>
  <c r="M90" i="7"/>
  <c r="M89" i="7"/>
  <c r="M88" i="7"/>
  <c r="O87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O41" i="7" s="1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L91" i="6"/>
  <c r="K91" i="6"/>
  <c r="J91" i="6"/>
  <c r="I91" i="6"/>
  <c r="H91" i="6"/>
  <c r="G91" i="6"/>
  <c r="F91" i="6"/>
  <c r="M90" i="6"/>
  <c r="O90" i="6" s="1"/>
  <c r="M89" i="6"/>
  <c r="O89" i="6" s="1"/>
  <c r="M88" i="6"/>
  <c r="O87" i="6" s="1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O74" i="6" s="1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O59" i="6" s="1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O41" i="6" s="1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O14" i="6" s="1"/>
  <c r="M17" i="6"/>
  <c r="M16" i="6"/>
  <c r="M15" i="6"/>
  <c r="M14" i="6"/>
  <c r="M13" i="6"/>
  <c r="M12" i="6"/>
  <c r="M11" i="6"/>
  <c r="M10" i="6"/>
  <c r="M9" i="6"/>
  <c r="M8" i="6"/>
  <c r="M7" i="6"/>
  <c r="M6" i="6"/>
  <c r="F65" i="5"/>
  <c r="Y34" i="4"/>
  <c r="Y35" i="4" s="1"/>
  <c r="E29" i="4"/>
  <c r="E30" i="4"/>
  <c r="D30" i="4"/>
  <c r="D29" i="4"/>
  <c r="Y26" i="4"/>
  <c r="D25" i="4"/>
  <c r="Y21" i="4"/>
  <c r="Y22" i="4" s="1"/>
  <c r="D20" i="4"/>
  <c r="Y16" i="4"/>
  <c r="Y17" i="4" s="1"/>
  <c r="C54" i="5"/>
  <c r="D54" i="5"/>
  <c r="E54" i="5"/>
  <c r="F54" i="5"/>
  <c r="G54" i="5"/>
  <c r="H54" i="5"/>
  <c r="I54" i="5"/>
  <c r="J54" i="5"/>
  <c r="K54" i="5"/>
  <c r="M54" i="5"/>
  <c r="N54" i="5"/>
  <c r="O54" i="5"/>
  <c r="P54" i="5"/>
  <c r="Q54" i="5"/>
  <c r="R54" i="5"/>
  <c r="L54" i="5"/>
  <c r="T54" i="5" s="1"/>
  <c r="D47" i="5"/>
  <c r="I24" i="4" s="1"/>
  <c r="E47" i="5"/>
  <c r="J24" i="4" s="1"/>
  <c r="F47" i="5"/>
  <c r="K24" i="4" s="1"/>
  <c r="G47" i="5"/>
  <c r="L24" i="4" s="1"/>
  <c r="H47" i="5"/>
  <c r="M24" i="4" s="1"/>
  <c r="I47" i="5"/>
  <c r="N24" i="4" s="1"/>
  <c r="J47" i="5"/>
  <c r="O24" i="4" s="1"/>
  <c r="K47" i="5"/>
  <c r="P24" i="4" s="1"/>
  <c r="L47" i="5"/>
  <c r="Q24" i="4" s="1"/>
  <c r="M47" i="5"/>
  <c r="R24" i="4" s="1"/>
  <c r="N47" i="5"/>
  <c r="S24" i="4" s="1"/>
  <c r="O47" i="5"/>
  <c r="T24" i="4" s="1"/>
  <c r="P47" i="5"/>
  <c r="U24" i="4" s="1"/>
  <c r="Q47" i="5"/>
  <c r="V24" i="4" s="1"/>
  <c r="R47" i="5"/>
  <c r="W24" i="4" s="1"/>
  <c r="C47" i="5"/>
  <c r="D44" i="5"/>
  <c r="I19" i="4" s="1"/>
  <c r="E44" i="5"/>
  <c r="J19" i="4" s="1"/>
  <c r="F44" i="5"/>
  <c r="K19" i="4" s="1"/>
  <c r="G44" i="5"/>
  <c r="L19" i="4" s="1"/>
  <c r="H44" i="5"/>
  <c r="M19" i="4" s="1"/>
  <c r="I44" i="5"/>
  <c r="N19" i="4" s="1"/>
  <c r="J44" i="5"/>
  <c r="O19" i="4" s="1"/>
  <c r="K44" i="5"/>
  <c r="P19" i="4" s="1"/>
  <c r="L44" i="5"/>
  <c r="Q19" i="4" s="1"/>
  <c r="M44" i="5"/>
  <c r="R19" i="4" s="1"/>
  <c r="N44" i="5"/>
  <c r="S19" i="4" s="1"/>
  <c r="O44" i="5"/>
  <c r="T19" i="4" s="1"/>
  <c r="P44" i="5"/>
  <c r="U19" i="4" s="1"/>
  <c r="Q44" i="5"/>
  <c r="V19" i="4" s="1"/>
  <c r="R44" i="5"/>
  <c r="W19" i="4" s="1"/>
  <c r="C44" i="5"/>
  <c r="H19" i="4" s="1"/>
  <c r="D38" i="5"/>
  <c r="I14" i="4" s="1"/>
  <c r="E38" i="5"/>
  <c r="J14" i="4" s="1"/>
  <c r="F38" i="5"/>
  <c r="K14" i="4" s="1"/>
  <c r="G38" i="5"/>
  <c r="L14" i="4" s="1"/>
  <c r="H38" i="5"/>
  <c r="M14" i="4" s="1"/>
  <c r="I38" i="5"/>
  <c r="N14" i="4" s="1"/>
  <c r="J38" i="5"/>
  <c r="O14" i="4" s="1"/>
  <c r="K38" i="5"/>
  <c r="P14" i="4" s="1"/>
  <c r="L38" i="5"/>
  <c r="Q14" i="4" s="1"/>
  <c r="M38" i="5"/>
  <c r="R14" i="4" s="1"/>
  <c r="N38" i="5"/>
  <c r="S14" i="4" s="1"/>
  <c r="O38" i="5"/>
  <c r="T14" i="4" s="1"/>
  <c r="P38" i="5"/>
  <c r="U14" i="4" s="1"/>
  <c r="Q38" i="5"/>
  <c r="V14" i="4" s="1"/>
  <c r="R38" i="5"/>
  <c r="W14" i="4" s="1"/>
  <c r="C38" i="5"/>
  <c r="H14" i="4" s="1"/>
  <c r="Z15" i="4" s="1"/>
  <c r="D33" i="5"/>
  <c r="I9" i="4" s="1"/>
  <c r="E33" i="5"/>
  <c r="N33" i="5"/>
  <c r="S9" i="4" s="1"/>
  <c r="O33" i="5"/>
  <c r="T9" i="4" s="1"/>
  <c r="P33" i="5"/>
  <c r="U9" i="4" s="1"/>
  <c r="Q33" i="5"/>
  <c r="R33" i="5"/>
  <c r="R56" i="5" s="1"/>
  <c r="C33" i="5"/>
  <c r="T80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R65" i="5"/>
  <c r="Q65" i="5"/>
  <c r="P65" i="5"/>
  <c r="O65" i="5"/>
  <c r="N65" i="5"/>
  <c r="M65" i="5"/>
  <c r="L65" i="5"/>
  <c r="K65" i="5"/>
  <c r="J65" i="5"/>
  <c r="I65" i="5"/>
  <c r="H65" i="5"/>
  <c r="G65" i="5"/>
  <c r="E65" i="5"/>
  <c r="D65" i="5"/>
  <c r="C65" i="5"/>
  <c r="T64" i="5"/>
  <c r="T63" i="5"/>
  <c r="T62" i="5"/>
  <c r="T61" i="5"/>
  <c r="T60" i="5"/>
  <c r="T59" i="5"/>
  <c r="T58" i="5"/>
  <c r="T57" i="5"/>
  <c r="T55" i="5"/>
  <c r="T53" i="5"/>
  <c r="T52" i="5"/>
  <c r="T51" i="5"/>
  <c r="T50" i="5"/>
  <c r="T49" i="5"/>
  <c r="T48" i="5"/>
  <c r="T46" i="5"/>
  <c r="T45" i="5"/>
  <c r="T43" i="5"/>
  <c r="T42" i="5"/>
  <c r="T41" i="5"/>
  <c r="T40" i="5"/>
  <c r="T37" i="5"/>
  <c r="T36" i="5"/>
  <c r="T35" i="5"/>
  <c r="T34" i="5"/>
  <c r="T32" i="5"/>
  <c r="T31" i="5"/>
  <c r="T30" i="5"/>
  <c r="T29" i="5"/>
  <c r="T28" i="5"/>
  <c r="M33" i="5"/>
  <c r="R9" i="4" s="1"/>
  <c r="L33" i="5"/>
  <c r="Q9" i="4" s="1"/>
  <c r="K33" i="5"/>
  <c r="P9" i="4" s="1"/>
  <c r="J33" i="5"/>
  <c r="H33" i="5"/>
  <c r="G33" i="5"/>
  <c r="L9" i="4" s="1"/>
  <c r="F33" i="5"/>
  <c r="F56" i="5" s="1"/>
  <c r="T26" i="5"/>
  <c r="T25" i="5"/>
  <c r="T24" i="5"/>
  <c r="Y11" i="4"/>
  <c r="Y12" i="4" s="1"/>
  <c r="D15" i="4"/>
  <c r="O87" i="11" l="1"/>
  <c r="O74" i="11"/>
  <c r="O69" i="11"/>
  <c r="O59" i="11"/>
  <c r="O41" i="11"/>
  <c r="O14" i="11"/>
  <c r="O6" i="11"/>
  <c r="M91" i="11"/>
  <c r="H44" i="4"/>
  <c r="H45" i="4" s="1"/>
  <c r="D44" i="4"/>
  <c r="D45" i="4" s="1"/>
  <c r="D46" i="4" s="1"/>
  <c r="E41" i="4"/>
  <c r="O90" i="10"/>
  <c r="M91" i="10"/>
  <c r="O89" i="10"/>
  <c r="O87" i="10"/>
  <c r="O74" i="10"/>
  <c r="O69" i="10"/>
  <c r="O41" i="10"/>
  <c r="O14" i="10"/>
  <c r="O6" i="10"/>
  <c r="N68" i="9"/>
  <c r="N78" i="9"/>
  <c r="N10" i="9"/>
  <c r="N19" i="9"/>
  <c r="N29" i="9"/>
  <c r="N39" i="9"/>
  <c r="N49" i="9"/>
  <c r="N11" i="9"/>
  <c r="N20" i="9"/>
  <c r="N30" i="9"/>
  <c r="N40" i="9"/>
  <c r="N50" i="9"/>
  <c r="N60" i="9"/>
  <c r="N80" i="9"/>
  <c r="N90" i="9"/>
  <c r="N31" i="9"/>
  <c r="N51" i="9"/>
  <c r="N71" i="9"/>
  <c r="N81" i="9"/>
  <c r="N13" i="9"/>
  <c r="N22" i="9"/>
  <c r="N32" i="9"/>
  <c r="N82" i="9"/>
  <c r="N43" i="9"/>
  <c r="N53" i="9"/>
  <c r="N63" i="9"/>
  <c r="N73" i="9"/>
  <c r="N83" i="9"/>
  <c r="N24" i="9"/>
  <c r="N54" i="9"/>
  <c r="N64" i="9"/>
  <c r="N6" i="9"/>
  <c r="N15" i="9"/>
  <c r="N25" i="9"/>
  <c r="N35" i="9"/>
  <c r="N45" i="9"/>
  <c r="N75" i="9"/>
  <c r="N85" i="9"/>
  <c r="N7" i="9"/>
  <c r="N16" i="9"/>
  <c r="N26" i="9"/>
  <c r="N36" i="9"/>
  <c r="N46" i="9"/>
  <c r="N56" i="9"/>
  <c r="N8" i="9"/>
  <c r="N17" i="9"/>
  <c r="N27" i="9"/>
  <c r="N37" i="9"/>
  <c r="N67" i="9"/>
  <c r="N77" i="9"/>
  <c r="N87" i="9"/>
  <c r="O6" i="9"/>
  <c r="M91" i="9"/>
  <c r="O87" i="9"/>
  <c r="O90" i="9"/>
  <c r="N74" i="9"/>
  <c r="N89" i="9"/>
  <c r="N41" i="9"/>
  <c r="N69" i="9"/>
  <c r="G31" i="4"/>
  <c r="G32" i="4"/>
  <c r="F32" i="4"/>
  <c r="F31" i="4"/>
  <c r="Q56" i="5"/>
  <c r="O90" i="8"/>
  <c r="O89" i="8"/>
  <c r="O87" i="8"/>
  <c r="O69" i="8"/>
  <c r="O59" i="8"/>
  <c r="O14" i="8"/>
  <c r="M91" i="8"/>
  <c r="O6" i="8"/>
  <c r="D31" i="4"/>
  <c r="E31" i="4"/>
  <c r="T47" i="5"/>
  <c r="H24" i="4"/>
  <c r="E32" i="4"/>
  <c r="O90" i="7"/>
  <c r="O89" i="7"/>
  <c r="O74" i="7"/>
  <c r="O69" i="7"/>
  <c r="O59" i="7"/>
  <c r="O14" i="7"/>
  <c r="O6" i="7"/>
  <c r="M91" i="7"/>
  <c r="M91" i="6"/>
  <c r="N78" i="6" s="1"/>
  <c r="N45" i="6"/>
  <c r="N54" i="6"/>
  <c r="N65" i="6"/>
  <c r="N46" i="6"/>
  <c r="N37" i="6"/>
  <c r="N57" i="6"/>
  <c r="O6" i="6"/>
  <c r="O69" i="6"/>
  <c r="D32" i="4"/>
  <c r="Z20" i="4"/>
  <c r="H56" i="5"/>
  <c r="H81" i="5" s="1"/>
  <c r="H83" i="5" s="1"/>
  <c r="P30" i="4"/>
  <c r="J56" i="5"/>
  <c r="J81" i="5" s="1"/>
  <c r="J83" i="5" s="1"/>
  <c r="K56" i="5"/>
  <c r="K81" i="5" s="1"/>
  <c r="K83" i="5" s="1"/>
  <c r="E56" i="5"/>
  <c r="E81" i="5" s="1"/>
  <c r="E83" i="5" s="1"/>
  <c r="I29" i="4"/>
  <c r="D56" i="5"/>
  <c r="D81" i="5" s="1"/>
  <c r="D83" i="5" s="1"/>
  <c r="P56" i="5"/>
  <c r="P81" i="5" s="1"/>
  <c r="P83" i="5" s="1"/>
  <c r="I30" i="4"/>
  <c r="O56" i="5"/>
  <c r="O81" i="5" s="1"/>
  <c r="O83" i="5" s="1"/>
  <c r="N56" i="5"/>
  <c r="N81" i="5" s="1"/>
  <c r="N83" i="5" s="1"/>
  <c r="M56" i="5"/>
  <c r="M81" i="5" s="1"/>
  <c r="M83" i="5" s="1"/>
  <c r="L56" i="5"/>
  <c r="L81" i="5" s="1"/>
  <c r="L83" i="5" s="1"/>
  <c r="O9" i="4"/>
  <c r="O30" i="4" s="1"/>
  <c r="J9" i="4"/>
  <c r="R30" i="4"/>
  <c r="R29" i="4"/>
  <c r="Q30" i="4"/>
  <c r="Q29" i="4"/>
  <c r="U29" i="4"/>
  <c r="U30" i="4"/>
  <c r="T30" i="4"/>
  <c r="T29" i="4"/>
  <c r="S30" i="4"/>
  <c r="S29" i="4"/>
  <c r="L29" i="4"/>
  <c r="L30" i="4"/>
  <c r="M9" i="4"/>
  <c r="G56" i="5"/>
  <c r="G81" i="5" s="1"/>
  <c r="G83" i="5" s="1"/>
  <c r="K9" i="4"/>
  <c r="P29" i="4"/>
  <c r="W9" i="4"/>
  <c r="V9" i="4"/>
  <c r="H9" i="4"/>
  <c r="Y27" i="4"/>
  <c r="E25" i="4"/>
  <c r="F25" i="4" s="1"/>
  <c r="G25" i="4" s="1"/>
  <c r="E20" i="4"/>
  <c r="F20" i="4" s="1"/>
  <c r="G20" i="4" s="1"/>
  <c r="H20" i="4" s="1"/>
  <c r="I20" i="4" s="1"/>
  <c r="T44" i="5"/>
  <c r="C81" i="5"/>
  <c r="C83" i="5" s="1"/>
  <c r="T38" i="5"/>
  <c r="R81" i="5"/>
  <c r="R83" i="5" s="1"/>
  <c r="T79" i="5"/>
  <c r="T27" i="5"/>
  <c r="I33" i="5"/>
  <c r="Q81" i="5"/>
  <c r="Q83" i="5" s="1"/>
  <c r="F81" i="5"/>
  <c r="F83" i="5" s="1"/>
  <c r="T65" i="5"/>
  <c r="E15" i="4"/>
  <c r="F15" i="4" s="1"/>
  <c r="G15" i="4" s="1"/>
  <c r="H15" i="4" s="1"/>
  <c r="I15" i="4" s="1"/>
  <c r="O91" i="11" l="1"/>
  <c r="P6" i="11" s="1"/>
  <c r="N86" i="11"/>
  <c r="N71" i="11"/>
  <c r="N72" i="11"/>
  <c r="N75" i="11"/>
  <c r="N76" i="11"/>
  <c r="N77" i="11"/>
  <c r="N78" i="11"/>
  <c r="N79" i="11"/>
  <c r="N80" i="11"/>
  <c r="N81" i="11"/>
  <c r="N83" i="11"/>
  <c r="N85" i="11"/>
  <c r="N88" i="11"/>
  <c r="N89" i="11"/>
  <c r="N7" i="11"/>
  <c r="N9" i="11"/>
  <c r="N10" i="11"/>
  <c r="N11" i="11"/>
  <c r="N12" i="11"/>
  <c r="N13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4" i="11"/>
  <c r="N35" i="11"/>
  <c r="N36" i="11"/>
  <c r="N37" i="11"/>
  <c r="N38" i="11"/>
  <c r="N39" i="11"/>
  <c r="N40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60" i="11"/>
  <c r="N61" i="11"/>
  <c r="N62" i="11"/>
  <c r="N63" i="11"/>
  <c r="N64" i="11"/>
  <c r="N65" i="11"/>
  <c r="N66" i="11"/>
  <c r="N67" i="11"/>
  <c r="N68" i="11"/>
  <c r="N70" i="11"/>
  <c r="N84" i="11"/>
  <c r="N82" i="11"/>
  <c r="N8" i="11"/>
  <c r="N33" i="11"/>
  <c r="N73" i="11"/>
  <c r="N90" i="11"/>
  <c r="N59" i="11"/>
  <c r="N87" i="11"/>
  <c r="N74" i="11"/>
  <c r="N41" i="11"/>
  <c r="N14" i="11"/>
  <c r="N6" i="11"/>
  <c r="N69" i="11"/>
  <c r="E45" i="4"/>
  <c r="F41" i="4"/>
  <c r="E42" i="4"/>
  <c r="H30" i="4"/>
  <c r="H29" i="4"/>
  <c r="H25" i="4"/>
  <c r="I25" i="4" s="1"/>
  <c r="F45" i="4"/>
  <c r="E46" i="4"/>
  <c r="N89" i="10"/>
  <c r="N88" i="10"/>
  <c r="N74" i="10"/>
  <c r="N69" i="10"/>
  <c r="N41" i="10"/>
  <c r="N19" i="10"/>
  <c r="N7" i="10"/>
  <c r="N9" i="10"/>
  <c r="N10" i="10"/>
  <c r="N12" i="10"/>
  <c r="N13" i="10"/>
  <c r="N15" i="10"/>
  <c r="N17" i="10"/>
  <c r="N20" i="10"/>
  <c r="N23" i="10"/>
  <c r="N25" i="10"/>
  <c r="N27" i="10"/>
  <c r="N30" i="10"/>
  <c r="N32" i="10"/>
  <c r="N35" i="10"/>
  <c r="N62" i="10"/>
  <c r="N64" i="10"/>
  <c r="N8" i="10"/>
  <c r="N11" i="10"/>
  <c r="N14" i="10"/>
  <c r="N16" i="10"/>
  <c r="N18" i="10"/>
  <c r="N21" i="10"/>
  <c r="N22" i="10"/>
  <c r="N24" i="10"/>
  <c r="N26" i="10"/>
  <c r="N28" i="10"/>
  <c r="N31" i="10"/>
  <c r="N33" i="10"/>
  <c r="N34" i="10"/>
  <c r="N36" i="10"/>
  <c r="N37" i="10"/>
  <c r="N38" i="10"/>
  <c r="N39" i="10"/>
  <c r="N40" i="10"/>
  <c r="N42" i="10"/>
  <c r="N43" i="10"/>
  <c r="N44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60" i="10"/>
  <c r="N61" i="10"/>
  <c r="N63" i="10"/>
  <c r="N65" i="10"/>
  <c r="N66" i="10"/>
  <c r="N67" i="10"/>
  <c r="N68" i="10"/>
  <c r="N70" i="10"/>
  <c r="N71" i="10"/>
  <c r="N72" i="10"/>
  <c r="N73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29" i="10"/>
  <c r="N45" i="10"/>
  <c r="N59" i="10"/>
  <c r="O91" i="10"/>
  <c r="P6" i="10" s="1"/>
  <c r="N90" i="10"/>
  <c r="N6" i="10"/>
  <c r="O91" i="9"/>
  <c r="P6" i="9"/>
  <c r="P90" i="9"/>
  <c r="P87" i="9"/>
  <c r="N84" i="9"/>
  <c r="N66" i="9"/>
  <c r="N57" i="9"/>
  <c r="N47" i="9"/>
  <c r="N38" i="9"/>
  <c r="N28" i="9"/>
  <c r="N14" i="9"/>
  <c r="N88" i="9"/>
  <c r="N79" i="9"/>
  <c r="N70" i="9"/>
  <c r="N61" i="9"/>
  <c r="N52" i="9"/>
  <c r="N42" i="9"/>
  <c r="N33" i="9"/>
  <c r="N23" i="9"/>
  <c r="N18" i="9"/>
  <c r="N9" i="9"/>
  <c r="N86" i="9"/>
  <c r="N65" i="9"/>
  <c r="N44" i="9"/>
  <c r="N72" i="9"/>
  <c r="N21" i="9"/>
  <c r="N58" i="9"/>
  <c r="N59" i="9"/>
  <c r="N76" i="9"/>
  <c r="N55" i="9"/>
  <c r="N34" i="9"/>
  <c r="N62" i="9"/>
  <c r="N12" i="9"/>
  <c r="N91" i="9" s="1"/>
  <c r="N48" i="9"/>
  <c r="Z25" i="4"/>
  <c r="Q31" i="4"/>
  <c r="S31" i="4"/>
  <c r="T31" i="4"/>
  <c r="N45" i="8"/>
  <c r="N46" i="8"/>
  <c r="N47" i="8"/>
  <c r="N49" i="8"/>
  <c r="N50" i="8"/>
  <c r="N51" i="8"/>
  <c r="N52" i="8"/>
  <c r="N53" i="8"/>
  <c r="N54" i="8"/>
  <c r="N55" i="8"/>
  <c r="N56" i="8"/>
  <c r="N57" i="8"/>
  <c r="N60" i="8"/>
  <c r="N61" i="8"/>
  <c r="N62" i="8"/>
  <c r="N63" i="8"/>
  <c r="N64" i="8"/>
  <c r="N65" i="8"/>
  <c r="N66" i="8"/>
  <c r="N67" i="8"/>
  <c r="N68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" i="8"/>
  <c r="N9" i="8"/>
  <c r="N10" i="8"/>
  <c r="N11" i="8"/>
  <c r="N12" i="8"/>
  <c r="N13" i="8"/>
  <c r="N15" i="8"/>
  <c r="N16" i="8"/>
  <c r="N17" i="8"/>
  <c r="N18" i="8"/>
  <c r="N19" i="8"/>
  <c r="N20" i="8"/>
  <c r="N22" i="8"/>
  <c r="N24" i="8"/>
  <c r="N25" i="8"/>
  <c r="N26" i="8"/>
  <c r="N27" i="8"/>
  <c r="N29" i="8"/>
  <c r="N30" i="8"/>
  <c r="N31" i="8"/>
  <c r="N32" i="8"/>
  <c r="N34" i="8"/>
  <c r="N35" i="8"/>
  <c r="N36" i="8"/>
  <c r="N37" i="8"/>
  <c r="N38" i="8"/>
  <c r="N39" i="8"/>
  <c r="N40" i="8"/>
  <c r="N41" i="8"/>
  <c r="N42" i="8"/>
  <c r="N43" i="8"/>
  <c r="N44" i="8"/>
  <c r="N7" i="8"/>
  <c r="N23" i="8"/>
  <c r="N21" i="8"/>
  <c r="N28" i="8"/>
  <c r="N33" i="8"/>
  <c r="N48" i="8"/>
  <c r="N58" i="8"/>
  <c r="O91" i="8"/>
  <c r="P6" i="8" s="1"/>
  <c r="N90" i="8"/>
  <c r="N89" i="8"/>
  <c r="N87" i="8"/>
  <c r="N69" i="8"/>
  <c r="N59" i="8"/>
  <c r="N14" i="8"/>
  <c r="N6" i="8"/>
  <c r="R31" i="4"/>
  <c r="U31" i="4"/>
  <c r="L31" i="4"/>
  <c r="P31" i="4"/>
  <c r="I31" i="4"/>
  <c r="H87" i="5"/>
  <c r="H84" i="5"/>
  <c r="H85" i="5" s="1"/>
  <c r="J87" i="5"/>
  <c r="J84" i="5"/>
  <c r="J85" i="5" s="1"/>
  <c r="K87" i="5"/>
  <c r="K84" i="5"/>
  <c r="K85" i="5" s="1"/>
  <c r="E84" i="5"/>
  <c r="E85" i="5" s="1"/>
  <c r="E87" i="5"/>
  <c r="D87" i="5"/>
  <c r="D84" i="5"/>
  <c r="D85" i="5" s="1"/>
  <c r="P84" i="5"/>
  <c r="P85" i="5" s="1"/>
  <c r="P87" i="5"/>
  <c r="O84" i="5"/>
  <c r="O85" i="5" s="1"/>
  <c r="O87" i="5"/>
  <c r="N84" i="5"/>
  <c r="N85" i="5" s="1"/>
  <c r="N87" i="5"/>
  <c r="M84" i="5"/>
  <c r="M85" i="5" s="1"/>
  <c r="M87" i="5"/>
  <c r="L84" i="5"/>
  <c r="L85" i="5" s="1"/>
  <c r="L87" i="5"/>
  <c r="G84" i="5"/>
  <c r="G85" i="5" s="1"/>
  <c r="G87" i="5"/>
  <c r="C84" i="5"/>
  <c r="C85" i="5" s="1"/>
  <c r="C87" i="5"/>
  <c r="R84" i="5"/>
  <c r="R85" i="5" s="1"/>
  <c r="R87" i="5"/>
  <c r="Q84" i="5"/>
  <c r="Q85" i="5" s="1"/>
  <c r="Q87" i="5"/>
  <c r="F84" i="5"/>
  <c r="F85" i="5" s="1"/>
  <c r="F87" i="5"/>
  <c r="O91" i="7"/>
  <c r="P6" i="7" s="1"/>
  <c r="N7" i="7"/>
  <c r="N8" i="7"/>
  <c r="N10" i="7"/>
  <c r="N12" i="7"/>
  <c r="N20" i="7"/>
  <c r="N22" i="7"/>
  <c r="N23" i="7"/>
  <c r="N25" i="7"/>
  <c r="N27" i="7"/>
  <c r="N31" i="7"/>
  <c r="N35" i="7"/>
  <c r="N38" i="7"/>
  <c r="N40" i="7"/>
  <c r="N43" i="7"/>
  <c r="N47" i="7"/>
  <c r="N49" i="7"/>
  <c r="N51" i="7"/>
  <c r="N53" i="7"/>
  <c r="N54" i="7"/>
  <c r="N55" i="7"/>
  <c r="N56" i="7"/>
  <c r="N57" i="7"/>
  <c r="N58" i="7"/>
  <c r="N60" i="7"/>
  <c r="N61" i="7"/>
  <c r="N62" i="7"/>
  <c r="N63" i="7"/>
  <c r="N65" i="7"/>
  <c r="N66" i="7"/>
  <c r="N67" i="7"/>
  <c r="N68" i="7"/>
  <c r="N70" i="7"/>
  <c r="N71" i="7"/>
  <c r="N72" i="7"/>
  <c r="N73" i="7"/>
  <c r="N75" i="7"/>
  <c r="N76" i="7"/>
  <c r="N77" i="7"/>
  <c r="N78" i="7"/>
  <c r="N79" i="7"/>
  <c r="N81" i="7"/>
  <c r="N82" i="7"/>
  <c r="N83" i="7"/>
  <c r="N84" i="7"/>
  <c r="N85" i="7"/>
  <c r="N86" i="7"/>
  <c r="N87" i="7"/>
  <c r="N15" i="7"/>
  <c r="N17" i="7"/>
  <c r="N19" i="7"/>
  <c r="N24" i="7"/>
  <c r="N30" i="7"/>
  <c r="N45" i="7"/>
  <c r="N52" i="7"/>
  <c r="N88" i="7"/>
  <c r="N9" i="7"/>
  <c r="N11" i="7"/>
  <c r="N13" i="7"/>
  <c r="N16" i="7"/>
  <c r="N18" i="7"/>
  <c r="N21" i="7"/>
  <c r="N26" i="7"/>
  <c r="N28" i="7"/>
  <c r="N29" i="7"/>
  <c r="N32" i="7"/>
  <c r="N33" i="7"/>
  <c r="N34" i="7"/>
  <c r="N36" i="7"/>
  <c r="N37" i="7"/>
  <c r="N39" i="7"/>
  <c r="N41" i="7"/>
  <c r="N42" i="7"/>
  <c r="N44" i="7"/>
  <c r="N48" i="7"/>
  <c r="N50" i="7"/>
  <c r="N64" i="7"/>
  <c r="N80" i="7"/>
  <c r="N46" i="7"/>
  <c r="N90" i="7"/>
  <c r="N89" i="7"/>
  <c r="N74" i="7"/>
  <c r="N69" i="7"/>
  <c r="N59" i="7"/>
  <c r="N14" i="7"/>
  <c r="N6" i="7"/>
  <c r="N91" i="7" s="1"/>
  <c r="N13" i="6"/>
  <c r="N7" i="6"/>
  <c r="N56" i="6"/>
  <c r="N47" i="6"/>
  <c r="N36" i="6"/>
  <c r="N82" i="6"/>
  <c r="N53" i="6"/>
  <c r="N26" i="6"/>
  <c r="N80" i="6"/>
  <c r="N55" i="6"/>
  <c r="N25" i="6"/>
  <c r="N35" i="6"/>
  <c r="N84" i="6"/>
  <c r="N44" i="6"/>
  <c r="N48" i="6"/>
  <c r="N17" i="6"/>
  <c r="N88" i="6"/>
  <c r="N71" i="6"/>
  <c r="N64" i="6"/>
  <c r="N76" i="6"/>
  <c r="N23" i="6"/>
  <c r="N30" i="6"/>
  <c r="N61" i="6"/>
  <c r="N63" i="6"/>
  <c r="N52" i="6"/>
  <c r="N66" i="6"/>
  <c r="N16" i="6"/>
  <c r="N22" i="6"/>
  <c r="N75" i="6"/>
  <c r="N33" i="6"/>
  <c r="N85" i="6"/>
  <c r="N79" i="6"/>
  <c r="N40" i="6"/>
  <c r="N12" i="6"/>
  <c r="N20" i="6"/>
  <c r="N15" i="6"/>
  <c r="N31" i="6"/>
  <c r="N19" i="6"/>
  <c r="N34" i="6"/>
  <c r="N41" i="6"/>
  <c r="N24" i="6"/>
  <c r="N58" i="6"/>
  <c r="N73" i="6"/>
  <c r="N50" i="6"/>
  <c r="N72" i="6"/>
  <c r="N18" i="6"/>
  <c r="N59" i="6"/>
  <c r="N51" i="6"/>
  <c r="N69" i="6"/>
  <c r="N32" i="6"/>
  <c r="N62" i="6"/>
  <c r="N29" i="6"/>
  <c r="N77" i="6"/>
  <c r="N11" i="6"/>
  <c r="N83" i="6"/>
  <c r="N43" i="6"/>
  <c r="N68" i="6"/>
  <c r="N87" i="6"/>
  <c r="N49" i="6"/>
  <c r="N60" i="6"/>
  <c r="N74" i="6"/>
  <c r="N28" i="6"/>
  <c r="N14" i="6"/>
  <c r="N10" i="6"/>
  <c r="N39" i="6"/>
  <c r="N90" i="6"/>
  <c r="N67" i="6"/>
  <c r="N42" i="6"/>
  <c r="N38" i="6"/>
  <c r="N89" i="6"/>
  <c r="N27" i="6"/>
  <c r="N70" i="6"/>
  <c r="N9" i="6"/>
  <c r="N81" i="6"/>
  <c r="N6" i="6"/>
  <c r="N8" i="6"/>
  <c r="N21" i="6"/>
  <c r="N86" i="6"/>
  <c r="O91" i="6"/>
  <c r="P6" i="6" s="1"/>
  <c r="J29" i="4"/>
  <c r="J30" i="4"/>
  <c r="I32" i="4"/>
  <c r="O29" i="4"/>
  <c r="O31" i="4" s="1"/>
  <c r="M30" i="4"/>
  <c r="M29" i="4"/>
  <c r="M31" i="4" s="1"/>
  <c r="L32" i="4"/>
  <c r="P32" i="4"/>
  <c r="S32" i="4"/>
  <c r="T32" i="4"/>
  <c r="U32" i="4"/>
  <c r="Q32" i="4"/>
  <c r="R32" i="4"/>
  <c r="K29" i="4"/>
  <c r="K30" i="4"/>
  <c r="I56" i="5"/>
  <c r="I81" i="5" s="1"/>
  <c r="N9" i="4"/>
  <c r="Z10" i="4" s="1"/>
  <c r="V29" i="4"/>
  <c r="V30" i="4"/>
  <c r="W29" i="4"/>
  <c r="W30" i="4"/>
  <c r="T33" i="5"/>
  <c r="P14" i="11" l="1"/>
  <c r="P41" i="11"/>
  <c r="P59" i="11"/>
  <c r="P69" i="11"/>
  <c r="P74" i="11"/>
  <c r="P87" i="11"/>
  <c r="P89" i="11"/>
  <c r="P90" i="11"/>
  <c r="N91" i="11"/>
  <c r="G41" i="4"/>
  <c r="F42" i="4"/>
  <c r="H31" i="4"/>
  <c r="H32" i="4"/>
  <c r="G45" i="4"/>
  <c r="F46" i="4"/>
  <c r="N91" i="10"/>
  <c r="P14" i="10"/>
  <c r="P69" i="10"/>
  <c r="P74" i="10"/>
  <c r="P41" i="10"/>
  <c r="P87" i="10"/>
  <c r="P89" i="10"/>
  <c r="P90" i="10"/>
  <c r="P59" i="10"/>
  <c r="P69" i="9"/>
  <c r="P89" i="9"/>
  <c r="P41" i="9"/>
  <c r="P74" i="9"/>
  <c r="P14" i="9"/>
  <c r="P91" i="9" s="1"/>
  <c r="P59" i="9"/>
  <c r="W32" i="4"/>
  <c r="P14" i="8"/>
  <c r="P59" i="8"/>
  <c r="P87" i="8"/>
  <c r="P89" i="8"/>
  <c r="P90" i="8"/>
  <c r="P69" i="8"/>
  <c r="P74" i="8"/>
  <c r="P41" i="8"/>
  <c r="N91" i="8"/>
  <c r="J31" i="4"/>
  <c r="K31" i="4"/>
  <c r="V31" i="4"/>
  <c r="W31" i="4"/>
  <c r="P14" i="7"/>
  <c r="P59" i="7"/>
  <c r="P74" i="7"/>
  <c r="P89" i="7"/>
  <c r="P90" i="7"/>
  <c r="P69" i="7"/>
  <c r="P87" i="7"/>
  <c r="P41" i="7"/>
  <c r="P69" i="6"/>
  <c r="N91" i="6"/>
  <c r="P87" i="6"/>
  <c r="P41" i="6"/>
  <c r="P59" i="6"/>
  <c r="P89" i="6"/>
  <c r="P90" i="6"/>
  <c r="P14" i="6"/>
  <c r="P74" i="6"/>
  <c r="T56" i="5"/>
  <c r="I83" i="5"/>
  <c r="T81" i="5"/>
  <c r="O32" i="4"/>
  <c r="J32" i="4"/>
  <c r="V32" i="4"/>
  <c r="N30" i="4"/>
  <c r="N29" i="4"/>
  <c r="M32" i="4"/>
  <c r="K32" i="4"/>
  <c r="P91" i="11" l="1"/>
  <c r="H41" i="4"/>
  <c r="H42" i="4" s="1"/>
  <c r="G42" i="4"/>
  <c r="H46" i="4"/>
  <c r="G46" i="4"/>
  <c r="P91" i="10"/>
  <c r="P91" i="8"/>
  <c r="I84" i="5"/>
  <c r="I85" i="5" s="1"/>
  <c r="I87" i="5"/>
  <c r="Z33" i="4"/>
  <c r="N31" i="4"/>
  <c r="P91" i="7"/>
  <c r="P91" i="6"/>
  <c r="N32" i="4"/>
  <c r="J25" i="4"/>
  <c r="J20" i="4"/>
  <c r="J15" i="4"/>
  <c r="K25" i="4" l="1"/>
  <c r="K20" i="4"/>
  <c r="K15" i="4"/>
  <c r="L25" i="4" l="1"/>
  <c r="L20" i="4"/>
  <c r="L15" i="4"/>
  <c r="M25" i="4" l="1"/>
  <c r="M20" i="4"/>
  <c r="M15" i="4"/>
  <c r="N25" i="4" l="1"/>
  <c r="N20" i="4"/>
  <c r="N15" i="4"/>
  <c r="O25" i="4" l="1"/>
  <c r="O20" i="4"/>
  <c r="O15" i="4"/>
  <c r="P25" i="4" l="1"/>
  <c r="P20" i="4"/>
  <c r="P15" i="4"/>
  <c r="Q25" i="4" l="1"/>
  <c r="Q20" i="4"/>
  <c r="Q15" i="4"/>
  <c r="R25" i="4" l="1"/>
  <c r="R20" i="4"/>
  <c r="R15" i="4"/>
  <c r="S25" i="4" l="1"/>
  <c r="S20" i="4"/>
  <c r="S15" i="4"/>
  <c r="T25" i="4" l="1"/>
  <c r="T20" i="4"/>
  <c r="T15" i="4"/>
  <c r="U25" i="4" l="1"/>
  <c r="U20" i="4"/>
  <c r="U15" i="4"/>
  <c r="V25" i="4" l="1"/>
  <c r="V20" i="4"/>
  <c r="V15" i="4"/>
  <c r="D10" i="4"/>
  <c r="E10" i="4" s="1"/>
  <c r="F10" i="4" s="1"/>
  <c r="G10" i="4" s="1"/>
  <c r="H10" i="4" s="1"/>
  <c r="I10" i="4" s="1"/>
  <c r="W25" i="4" l="1"/>
  <c r="W20" i="4"/>
  <c r="W15" i="4"/>
  <c r="H4" i="4"/>
  <c r="K4" i="4"/>
  <c r="H26" i="4" l="1"/>
  <c r="H27" i="4" s="1"/>
  <c r="H21" i="4"/>
  <c r="H22" i="4" s="1"/>
  <c r="G16" i="4"/>
  <c r="H11" i="4"/>
  <c r="H12" i="4" s="1"/>
  <c r="H33" i="4"/>
  <c r="H34" i="4" s="1"/>
  <c r="G26" i="4"/>
  <c r="G27" i="4" s="1"/>
  <c r="G33" i="4"/>
  <c r="G34" i="4" s="1"/>
  <c r="G17" i="4"/>
  <c r="G21" i="4"/>
  <c r="G22" i="4" s="1"/>
  <c r="G11" i="4"/>
  <c r="G12" i="4" s="1"/>
  <c r="F21" i="4"/>
  <c r="F22" i="4" s="1"/>
  <c r="F26" i="4"/>
  <c r="F27" i="4" s="1"/>
  <c r="F11" i="4"/>
  <c r="F12" i="4" s="1"/>
  <c r="F16" i="4"/>
  <c r="F17" i="4" s="1"/>
  <c r="E11" i="4"/>
  <c r="E12" i="4" s="1"/>
  <c r="F33" i="4"/>
  <c r="F34" i="4" s="1"/>
  <c r="H16" i="4"/>
  <c r="H17" i="4" s="1"/>
  <c r="I26" i="4"/>
  <c r="I27" i="4" s="1"/>
  <c r="Y33" i="4"/>
  <c r="AA33" i="4" s="1"/>
  <c r="Y10" i="4"/>
  <c r="AA10" i="4" s="1"/>
  <c r="Y20" i="4"/>
  <c r="AA20" i="4" s="1"/>
  <c r="Y25" i="4"/>
  <c r="AA25" i="4" s="1"/>
  <c r="D26" i="4"/>
  <c r="D27" i="4" s="1"/>
  <c r="Y15" i="4"/>
  <c r="AA15" i="4" s="1"/>
  <c r="D33" i="4"/>
  <c r="D34" i="4" s="1"/>
  <c r="D35" i="4" s="1"/>
  <c r="D36" i="4" s="1"/>
  <c r="E33" i="4"/>
  <c r="E34" i="4" s="1"/>
  <c r="D16" i="4"/>
  <c r="D17" i="4" s="1"/>
  <c r="D21" i="4"/>
  <c r="D22" i="4" s="1"/>
  <c r="R33" i="4"/>
  <c r="R34" i="4" s="1"/>
  <c r="E16" i="4"/>
  <c r="E17" i="4" s="1"/>
  <c r="I33" i="4"/>
  <c r="I34" i="4" s="1"/>
  <c r="P33" i="4"/>
  <c r="P34" i="4" s="1"/>
  <c r="S33" i="4"/>
  <c r="S34" i="4" s="1"/>
  <c r="E21" i="4"/>
  <c r="E22" i="4" s="1"/>
  <c r="L33" i="4"/>
  <c r="L34" i="4" s="1"/>
  <c r="U33" i="4"/>
  <c r="U34" i="4" s="1"/>
  <c r="Q33" i="4"/>
  <c r="Q34" i="4" s="1"/>
  <c r="T33" i="4"/>
  <c r="T34" i="4" s="1"/>
  <c r="E26" i="4"/>
  <c r="E27" i="4" s="1"/>
  <c r="O33" i="4"/>
  <c r="O34" i="4" s="1"/>
  <c r="M33" i="4"/>
  <c r="M34" i="4" s="1"/>
  <c r="K33" i="4"/>
  <c r="K34" i="4" s="1"/>
  <c r="J33" i="4"/>
  <c r="J34" i="4" s="1"/>
  <c r="W33" i="4"/>
  <c r="W34" i="4" s="1"/>
  <c r="V33" i="4"/>
  <c r="V34" i="4" s="1"/>
  <c r="N33" i="4"/>
  <c r="N34" i="4" s="1"/>
  <c r="I21" i="4"/>
  <c r="I22" i="4" s="1"/>
  <c r="I16" i="4"/>
  <c r="I17" i="4" s="1"/>
  <c r="J26" i="4"/>
  <c r="J27" i="4" s="1"/>
  <c r="J21" i="4"/>
  <c r="J22" i="4" s="1"/>
  <c r="J16" i="4"/>
  <c r="J17" i="4" s="1"/>
  <c r="K26" i="4"/>
  <c r="K27" i="4" s="1"/>
  <c r="K21" i="4"/>
  <c r="K22" i="4" s="1"/>
  <c r="K16" i="4"/>
  <c r="K17" i="4" s="1"/>
  <c r="L26" i="4"/>
  <c r="L27" i="4" s="1"/>
  <c r="L21" i="4"/>
  <c r="L22" i="4" s="1"/>
  <c r="L16" i="4"/>
  <c r="L17" i="4" s="1"/>
  <c r="M26" i="4"/>
  <c r="M27" i="4" s="1"/>
  <c r="M21" i="4"/>
  <c r="M22" i="4" s="1"/>
  <c r="M16" i="4"/>
  <c r="M17" i="4" s="1"/>
  <c r="N26" i="4"/>
  <c r="N27" i="4" s="1"/>
  <c r="N21" i="4"/>
  <c r="N22" i="4" s="1"/>
  <c r="N16" i="4"/>
  <c r="N17" i="4" s="1"/>
  <c r="O26" i="4"/>
  <c r="O27" i="4" s="1"/>
  <c r="O16" i="4"/>
  <c r="O17" i="4" s="1"/>
  <c r="O21" i="4"/>
  <c r="O22" i="4" s="1"/>
  <c r="P26" i="4"/>
  <c r="P27" i="4" s="1"/>
  <c r="P21" i="4"/>
  <c r="P22" i="4" s="1"/>
  <c r="P16" i="4"/>
  <c r="P17" i="4" s="1"/>
  <c r="Q26" i="4"/>
  <c r="Q27" i="4" s="1"/>
  <c r="Q21" i="4"/>
  <c r="Q22" i="4" s="1"/>
  <c r="Q16" i="4"/>
  <c r="Q17" i="4" s="1"/>
  <c r="R26" i="4"/>
  <c r="R27" i="4" s="1"/>
  <c r="R21" i="4"/>
  <c r="R22" i="4" s="1"/>
  <c r="R16" i="4"/>
  <c r="R17" i="4" s="1"/>
  <c r="S26" i="4"/>
  <c r="S27" i="4" s="1"/>
  <c r="S21" i="4"/>
  <c r="S22" i="4" s="1"/>
  <c r="S16" i="4"/>
  <c r="S17" i="4" s="1"/>
  <c r="T26" i="4"/>
  <c r="T27" i="4" s="1"/>
  <c r="T21" i="4"/>
  <c r="T22" i="4" s="1"/>
  <c r="T16" i="4"/>
  <c r="T17" i="4" s="1"/>
  <c r="U26" i="4"/>
  <c r="U27" i="4" s="1"/>
  <c r="U16" i="4"/>
  <c r="U17" i="4" s="1"/>
  <c r="U21" i="4"/>
  <c r="U22" i="4" s="1"/>
  <c r="V16" i="4"/>
  <c r="V17" i="4" s="1"/>
  <c r="W21" i="4"/>
  <c r="V21" i="4"/>
  <c r="V22" i="4" s="1"/>
  <c r="W26" i="4"/>
  <c r="V26" i="4"/>
  <c r="V27" i="4" s="1"/>
  <c r="W16" i="4"/>
  <c r="AA16" i="4" s="1"/>
  <c r="D11" i="4"/>
  <c r="D12" i="4" s="1"/>
  <c r="I11" i="4"/>
  <c r="I12" i="4" s="1"/>
  <c r="AA21" i="4" l="1"/>
  <c r="W22" i="4"/>
  <c r="AA22" i="4" s="1"/>
  <c r="W27" i="4"/>
  <c r="AA27" i="4" s="1"/>
  <c r="AA26" i="4"/>
  <c r="E35" i="4"/>
  <c r="F35" i="4" s="1"/>
  <c r="G35" i="4" s="1"/>
  <c r="J10" i="4"/>
  <c r="W17" i="4"/>
  <c r="AA17" i="4" s="1"/>
  <c r="G36" i="4" l="1"/>
  <c r="H35" i="4"/>
  <c r="H36" i="4" s="1"/>
  <c r="F36" i="4"/>
  <c r="E36" i="4"/>
  <c r="J11" i="4"/>
  <c r="J12" i="4" s="1"/>
  <c r="K10" i="4"/>
  <c r="I35" i="4" l="1"/>
  <c r="J35" i="4" s="1"/>
  <c r="K11" i="4"/>
  <c r="K12" i="4" s="1"/>
  <c r="L10" i="4"/>
  <c r="I36" i="4" l="1"/>
  <c r="L11" i="4"/>
  <c r="L12" i="4" s="1"/>
  <c r="M10" i="4"/>
  <c r="K35" i="4" l="1"/>
  <c r="J36" i="4"/>
  <c r="M11" i="4"/>
  <c r="M12" i="4" s="1"/>
  <c r="N10" i="4"/>
  <c r="K36" i="4" l="1"/>
  <c r="L35" i="4"/>
  <c r="N11" i="4"/>
  <c r="N12" i="4" s="1"/>
  <c r="O10" i="4"/>
  <c r="M35" i="4" l="1"/>
  <c r="L36" i="4"/>
  <c r="O11" i="4"/>
  <c r="O12" i="4" s="1"/>
  <c r="P10" i="4"/>
  <c r="M36" i="4" l="1"/>
  <c r="N35" i="4"/>
  <c r="P11" i="4"/>
  <c r="P12" i="4" s="1"/>
  <c r="Q10" i="4"/>
  <c r="N36" i="4" l="1"/>
  <c r="O35" i="4"/>
  <c r="Q11" i="4"/>
  <c r="Q12" i="4" s="1"/>
  <c r="R10" i="4"/>
  <c r="R11" i="4" l="1"/>
  <c r="R12" i="4" s="1"/>
  <c r="S10" i="4"/>
  <c r="O36" i="4"/>
  <c r="P35" i="4"/>
  <c r="S11" i="4" l="1"/>
  <c r="S12" i="4" s="1"/>
  <c r="T10" i="4"/>
  <c r="P36" i="4"/>
  <c r="Q35" i="4"/>
  <c r="T11" i="4" l="1"/>
  <c r="T12" i="4" s="1"/>
  <c r="U10" i="4"/>
  <c r="R35" i="4"/>
  <c r="Q36" i="4"/>
  <c r="U11" i="4" l="1"/>
  <c r="U12" i="4" s="1"/>
  <c r="V10" i="4"/>
  <c r="R36" i="4"/>
  <c r="S35" i="4"/>
  <c r="V11" i="4" l="1"/>
  <c r="V12" i="4" s="1"/>
  <c r="W10" i="4"/>
  <c r="T35" i="4"/>
  <c r="S36" i="4"/>
  <c r="T36" i="4" l="1"/>
  <c r="U35" i="4"/>
  <c r="W12" i="4" l="1"/>
  <c r="AA12" i="4" s="1"/>
  <c r="AA11" i="4"/>
  <c r="U36" i="4"/>
  <c r="V35" i="4"/>
  <c r="W35" i="4" s="1"/>
  <c r="V36" i="4" l="1"/>
  <c r="AA34" i="4" l="1"/>
  <c r="W36" i="4"/>
  <c r="AA35" i="4" s="1"/>
</calcChain>
</file>

<file path=xl/sharedStrings.xml><?xml version="1.0" encoding="utf-8"?>
<sst xmlns="http://schemas.openxmlformats.org/spreadsheetml/2006/main" count="1191" uniqueCount="324">
  <si>
    <t>เดือน</t>
  </si>
  <si>
    <t>ค่าแรง / เดือน (บาท)</t>
  </si>
  <si>
    <t>รวมค่าแรงสะสม (บาท)</t>
  </si>
  <si>
    <t>จำนวนห้องทั้งหมด</t>
  </si>
  <si>
    <t>พื้นที่ห้องเฉลี่ย</t>
  </si>
  <si>
    <t>% แรงงานชาย</t>
  </si>
  <si>
    <t>% แรงงานหญิง</t>
  </si>
  <si>
    <t>ค่าแรงชาย/วัน</t>
  </si>
  <si>
    <t>ค่าแรงหญิง/วัน</t>
  </si>
  <si>
    <t>จำนวน OT/วัน</t>
  </si>
  <si>
    <t>จำนวนวัน/เดือน</t>
  </si>
  <si>
    <t>ค่า OT ชาย/ชม.</t>
  </si>
  <si>
    <t>ค่า OT หญิง/ชม.</t>
  </si>
  <si>
    <t>ข้อมูลเบื้องต้นสำหรับวางแผน</t>
  </si>
  <si>
    <t>OT / เดือน (บาท)</t>
  </si>
  <si>
    <t>เดือนที่ (นับตามสัญญา)</t>
  </si>
  <si>
    <t>แผนแรงงานรายวัน DC หมวด A-D</t>
  </si>
  <si>
    <t>หมวด A</t>
  </si>
  <si>
    <t>จำนวนแรงงาน</t>
  </si>
  <si>
    <t>จำนวนแรงงานสะสม</t>
  </si>
  <si>
    <t>Productivity (บาท/ตร.ม.)</t>
  </si>
  <si>
    <t>มูลค่าสะสม (บาท)</t>
  </si>
  <si>
    <t>หมวด B</t>
  </si>
  <si>
    <t>หมวด C</t>
  </si>
  <si>
    <t>หมวด D</t>
  </si>
  <si>
    <t>รวมแรงงาน ชาย (คน)</t>
  </si>
  <si>
    <t>รวมแรงงาน หญิง (คน)</t>
  </si>
  <si>
    <t>รวมค่าแรง + OT / เดือน (บาท)</t>
  </si>
  <si>
    <t>Budget</t>
  </si>
  <si>
    <t>แรง</t>
  </si>
  <si>
    <t>บาท</t>
  </si>
  <si>
    <t>บาท/ตร.ม.</t>
  </si>
  <si>
    <t>คงเหลือ</t>
  </si>
  <si>
    <t>ทำจริง (แรง)</t>
  </si>
  <si>
    <t xml:space="preserve"> </t>
  </si>
  <si>
    <t>MANPOWER</t>
  </si>
  <si>
    <t>ลำดับ</t>
  </si>
  <si>
    <t>ตำแหน่งงาน</t>
  </si>
  <si>
    <t>จำนวนแรงงาน: เดือน</t>
  </si>
  <si>
    <t>หมายเหตุ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</si>
  <si>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</si>
  <si>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</si>
  <si>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</si>
  <si>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</si>
  <si>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</si>
  <si>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</si>
  <si>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</si>
  <si>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</si>
  <si>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</si>
  <si>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</si>
  <si>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</si>
  <si>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</si>
  <si>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</si>
  <si>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</si>
  <si>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</si>
  <si>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</si>
  <si>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งานเสาเข็ม อาคาร A-E</t>
  </si>
  <si>
    <t>Sub-Structure</t>
  </si>
  <si>
    <t>อาคาร A-E</t>
  </si>
  <si>
    <t>Super-Structure</t>
  </si>
  <si>
    <t>Arhitech Work</t>
  </si>
  <si>
    <t>ประกอบห้องพักอาคาร A-D</t>
  </si>
  <si>
    <t>อาคาร E</t>
  </si>
  <si>
    <t>External Work</t>
  </si>
  <si>
    <t xml:space="preserve">Sink บ่อ WWTP </t>
  </si>
  <si>
    <t xml:space="preserve">Drainage/Fence /Road </t>
  </si>
  <si>
    <t>End Product &amp; QA Pass</t>
  </si>
  <si>
    <t>ส่งห้องพักอาคาร A-D (844 ห้อง)</t>
  </si>
  <si>
    <t>Piling Work</t>
  </si>
  <si>
    <t>Worker</t>
  </si>
  <si>
    <t>A</t>
  </si>
  <si>
    <t>DC SUPPLY</t>
  </si>
  <si>
    <t>Security</t>
  </si>
  <si>
    <t>Supplier</t>
  </si>
  <si>
    <t>Pick-up Driver</t>
  </si>
  <si>
    <t>DC หมวด A5.3</t>
  </si>
  <si>
    <t>Tower Crane Operator</t>
  </si>
  <si>
    <t>DC หมวด A5.1</t>
  </si>
  <si>
    <t>คนบอกเครน</t>
  </si>
  <si>
    <t>Hoist Operator</t>
  </si>
  <si>
    <t>DC หมวด A5.2</t>
  </si>
  <si>
    <t>Survey Helper</t>
  </si>
  <si>
    <t>DC หมวด A1</t>
  </si>
  <si>
    <t>Store Helper</t>
  </si>
  <si>
    <t>DC หมวด A2</t>
  </si>
  <si>
    <t>Electrician /Machanic</t>
  </si>
  <si>
    <t>DC หมวด A3</t>
  </si>
  <si>
    <t>แม่บ้านประจำสำนักงานสนาม</t>
  </si>
  <si>
    <t>DC หมวด A4</t>
  </si>
  <si>
    <t>Labour (Cleanning)</t>
  </si>
  <si>
    <t>DC หมวด B3</t>
  </si>
  <si>
    <t>Labour (Material Handering)</t>
  </si>
  <si>
    <t>DC หมวด B5</t>
  </si>
  <si>
    <t>กรรมกรงานโครงสร้างใต้ดิน</t>
  </si>
  <si>
    <t>DC หมวด B1</t>
  </si>
  <si>
    <t>ทีมจราจรในหน่วยงานและชุมชน</t>
  </si>
  <si>
    <t>DC หมวด B6</t>
  </si>
  <si>
    <t>กรรมกรทำความสะอาดตามชั้น</t>
  </si>
  <si>
    <t>DC หมวด C1</t>
  </si>
  <si>
    <t>กรรมกรขึ้นวัสดุ - ลงขยะ</t>
  </si>
  <si>
    <t>DC หมวด C2</t>
  </si>
  <si>
    <t>กรรมกรงานโครงสร้างอาคาร</t>
  </si>
  <si>
    <t>DC หมวด C5</t>
  </si>
  <si>
    <t>กรรมกรงานสถาปัตย์อาคาร</t>
  </si>
  <si>
    <t>DC หมวด C6</t>
  </si>
  <si>
    <t>กรรมกรงานบริการอื่นๆในตัวอาคาร</t>
  </si>
  <si>
    <t>DC หมวด C7</t>
  </si>
  <si>
    <t>Worker (Safety / Protection)</t>
  </si>
  <si>
    <t>DC หมวด D3</t>
  </si>
  <si>
    <t>แม่บ้านประจำบ้านพักคนงาน</t>
  </si>
  <si>
    <t>DC หมวด D2</t>
  </si>
  <si>
    <t>Worker QA Pass ห้องพัก (844 ห้อง)</t>
  </si>
  <si>
    <t>DC หมวด E1</t>
  </si>
  <si>
    <t>Worker ส่งห้องพักให้ลูกค้า (844 ห้อง)</t>
  </si>
  <si>
    <t>DC หมวด E4</t>
  </si>
  <si>
    <t>Worker QA Pass ทางเดินและโถงลิฟต์</t>
  </si>
  <si>
    <t>DC หมวด E2</t>
  </si>
  <si>
    <t>Worker QA Pass บันได</t>
  </si>
  <si>
    <t>Worker QA Pass พื้นที่ส่วนกลางโครงการ</t>
  </si>
  <si>
    <t>DC หมวด E3</t>
  </si>
  <si>
    <t>Worker ส่งมอบงานให้นิติบุคคล</t>
  </si>
  <si>
    <t>DC หมวด E5</t>
  </si>
  <si>
    <t>B</t>
  </si>
  <si>
    <t>SUB-CONTRACTOR (STRUCTURE)</t>
  </si>
  <si>
    <t>อาคาร A-D</t>
  </si>
  <si>
    <t>Sub-con</t>
  </si>
  <si>
    <t xml:space="preserve">ชุด Sink บ่อ </t>
  </si>
  <si>
    <t>งานภายนอก</t>
  </si>
  <si>
    <t>ชุดทำบันได</t>
  </si>
  <si>
    <t>ชุดวางสลิง</t>
  </si>
  <si>
    <t>C</t>
  </si>
  <si>
    <t>SUB-CONTRACTOR (ARCHITECT)</t>
  </si>
  <si>
    <t>TOWER</t>
  </si>
  <si>
    <t>Brick &amp; Plastering</t>
  </si>
  <si>
    <t xml:space="preserve">Topping </t>
  </si>
  <si>
    <t>Ceiling</t>
  </si>
  <si>
    <t>Tiling</t>
  </si>
  <si>
    <t>Hand Rail</t>
  </si>
  <si>
    <t>Aluminium Door &amp; Window</t>
  </si>
  <si>
    <t>Timber Door</t>
  </si>
  <si>
    <t>Painting</t>
  </si>
  <si>
    <t>DC</t>
  </si>
  <si>
    <t>Sanitary Ware</t>
  </si>
  <si>
    <t>Timber /Laminate Floor</t>
  </si>
  <si>
    <t>TOTAL MANPOWER</t>
  </si>
  <si>
    <t>แรงงานพักแค้มป์ (คน)</t>
  </si>
  <si>
    <t>จำนวนห้องพัก (ห้อง)</t>
  </si>
  <si>
    <t>จำนวนห้องพัก (หลัง@40 ห้อง)</t>
  </si>
  <si>
    <t>รวม DC หมวด A</t>
  </si>
  <si>
    <t>รวม DC หมวด B</t>
  </si>
  <si>
    <t>รวม DC หมวด C</t>
  </si>
  <si>
    <t>รวม DC หมวด D</t>
  </si>
  <si>
    <t>รวม DC หมวด E</t>
  </si>
  <si>
    <t>รวมแรงงาน (คน) / เดือน</t>
  </si>
  <si>
    <t>จำนวนเที่ยวรถโดยสาร (35 คน/เที่ยว)</t>
  </si>
  <si>
    <t>หมวดงาน</t>
  </si>
  <si>
    <t>หมวดงานย่อย</t>
  </si>
  <si>
    <t>จำนวนแรงงาน (คน)</t>
  </si>
  <si>
    <t>รวม</t>
  </si>
  <si>
    <t>D</t>
  </si>
  <si>
    <t>E</t>
  </si>
  <si>
    <t>LA</t>
  </si>
  <si>
    <t>กองกลาง</t>
  </si>
  <si>
    <t>จำนวนคน</t>
  </si>
  <si>
    <t>%</t>
  </si>
  <si>
    <t>งานประจำในไซต์งาน</t>
  </si>
  <si>
    <t>A1</t>
  </si>
  <si>
    <t>งานเซอร์เวย์ / ตีไลน์</t>
  </si>
  <si>
    <t>A2</t>
  </si>
  <si>
    <t>งานสโตร์ / เช็กเกอร์</t>
  </si>
  <si>
    <t>A3</t>
  </si>
  <si>
    <t>งานซ่อมบำรุง / บริการหน้างาน (ไฟฟ้า, ประปา)</t>
  </si>
  <si>
    <t>A4</t>
  </si>
  <si>
    <t>งานแม่บ้าน / ทำความสะอาด</t>
  </si>
  <si>
    <t>A5</t>
  </si>
  <si>
    <t>งานขับเครน /บอกเครน /เครื่องจักร /รถยนต์</t>
  </si>
  <si>
    <t>A5.1 - งานขับเครน / บอกเครน</t>
  </si>
  <si>
    <t>A5.2 - ขับเครื่องจักร (ลิฟต์ / โฟล์คลิฟต์ / แบ็กโฮ ฯลฯ)</t>
  </si>
  <si>
    <t>A5.3 - ขับรถยนต์</t>
  </si>
  <si>
    <t>งานพื้นที่บริเวณชั้น 1</t>
  </si>
  <si>
    <t>B1</t>
  </si>
  <si>
    <t>งานป้องกันดินพัง / งานใต้ดิน</t>
  </si>
  <si>
    <t>B1.1 - งานระบบป้องกันดินพัง</t>
  </si>
  <si>
    <t>B1.2 - งานโครงสร้างใต้ดิน</t>
  </si>
  <si>
    <t>B2</t>
  </si>
  <si>
    <t>งานจัดเตรียมพื้นที่บริเวณชั้น 1</t>
  </si>
  <si>
    <t>B2.1 - งานเตรียมการ สำนักงาน, สโตร์, ห้องน้ำ, ป้าย, รั้ว, ป้อม, ประตู</t>
  </si>
  <si>
    <t>B2.2 - งานเตรียมพื้นที่กองวัสดุ / เหล็ก / ไม้แบบ / Silo อื่น ๆ</t>
  </si>
  <si>
    <t>B2.3 - งานติดตั้งอุปกรณ์สำนักงาน / กล้องวงจรปิด</t>
  </si>
  <si>
    <t>B2.4 - งานเตรียมพื้นที่บริเวณรับประทานอาหาร, ลานปูน, ถนน, ทางเดิน, หลังคาคลุม</t>
  </si>
  <si>
    <t>B2.5 - งานจัดเรียงวัสดุให้เป็นระเบียบ</t>
  </si>
  <si>
    <t>B2.6 - งานปูแผ่นเหล็กทางเดิน</t>
  </si>
  <si>
    <t>B2.7 - งานตั้ง TC / ลิฟต์ชั่วคราว / Silo</t>
  </si>
  <si>
    <t>B2.8 - งานเทคอนกรีตชั่วคราวบริเวณพื้นที่ชั้น 1</t>
  </si>
  <si>
    <t>B2.9 - งานจัดเตรียมอื่น ๆ</t>
  </si>
  <si>
    <t>B3</t>
  </si>
  <si>
    <t>งานความสะอาดบริเวณชั้น 1</t>
  </si>
  <si>
    <t>B3.1 - ทำความสะอาดบริเวณชั้น 1</t>
  </si>
  <si>
    <t>B3.2 - สูบน้ำ / ล้างล้อ / กวาดถนน</t>
  </si>
  <si>
    <t>B4</t>
  </si>
  <si>
    <t>งานเก็บขยะ / ขนขยะ บริเวณชั้น 1</t>
  </si>
  <si>
    <t>B5</t>
  </si>
  <si>
    <t>งานขนย้ายวัสดุบริเวณชั้น 1</t>
  </si>
  <si>
    <t>B5.1 - รับวัสดุ / ขนวัสดุลงจากรถ</t>
  </si>
  <si>
    <t>B5.2 - ส่งวัสดุขึ้นรถขนส่ง ส่งกลับร้านค้า / DSC</t>
  </si>
  <si>
    <t>B5.3 - ขนย้ายวัสดุในโครงการ</t>
  </si>
  <si>
    <t>B6</t>
  </si>
  <si>
    <t>งานบริการอื่น ๆ บริเวณชั้น 1</t>
  </si>
  <si>
    <t>B6.1 - งานโบกรถ / จราจร</t>
  </si>
  <si>
    <t>B6.2 - งานทาสีกันสนิมเหล็กกล่อง / แป๊บกลม</t>
  </si>
  <si>
    <t>B6.3 - งานสำนักงานขาย</t>
  </si>
  <si>
    <t>B6.4 - งานทำห้องเก็บวัสดุ / ห้องตัวอย่าง Mockup</t>
  </si>
  <si>
    <t>B6.5 - งานอื่น ๆ บริเวณชั้น 1</t>
  </si>
  <si>
    <t>งานพื้นที่ในตัวอาคาร</t>
  </si>
  <si>
    <t>C1</t>
  </si>
  <si>
    <t>งานความสะอาดตามชั้น</t>
  </si>
  <si>
    <t>C2</t>
  </si>
  <si>
    <t>งานเก็บ / ขนขยะ</t>
  </si>
  <si>
    <t>C3</t>
  </si>
  <si>
    <t>งานขนส่ง / ขนย้ายวัสดุ</t>
  </si>
  <si>
    <t>C3.1 - งานรื้อ / ขนย้ายไม้แบบ นั่งร้าน และอุปกรณ์</t>
  </si>
  <si>
    <t>C3.2 - งานขนวัสดุงานโครงสร้าง ขึ้น-ลง อาคาร</t>
  </si>
  <si>
    <t>C3.3 - งานขนวัสดุงานสถาปัตย์ ขึ้น-ลง อาคาร</t>
  </si>
  <si>
    <t>C3.4 - งานขนย้ายเศษวัสดุ</t>
  </si>
  <si>
    <t>C4</t>
  </si>
  <si>
    <t>งานติดตั้งท่าเรือ / บันได / นั่งร้าน / platform</t>
  </si>
  <si>
    <t>C5</t>
  </si>
  <si>
    <t>งานแก้ไขโครงสร้าง</t>
  </si>
  <si>
    <t>C5.1 - งานสกัดผิวโครงสร้าง เสา / ผนัง/ คาน</t>
  </si>
  <si>
    <t>C5.2 - งานแก้ไขโครงสร้าง</t>
  </si>
  <si>
    <t>C6</t>
  </si>
  <si>
    <t>งานแก้ไขสถาปัตย์</t>
  </si>
  <si>
    <t>C6.1 - งานสกัดผิวสถาปัตย์</t>
  </si>
  <si>
    <t>C6.2 - งานแก้ไขสถาปัตย์</t>
  </si>
  <si>
    <t>C7</t>
  </si>
  <si>
    <t>งานบริการอื่น ๆ ในตัวอาคาร</t>
  </si>
  <si>
    <t>C7.1 - ถือกุญแจประจำชั้น</t>
  </si>
  <si>
    <t>C7.2 - งาน Wrap วัสดุ (บานประตู, กระเบื้อง, พื้นไม้, สุขภัณฑ์ ฯลฯ)</t>
  </si>
  <si>
    <t>C7.3 - งานอื่น ๆ ในตัวอาคาร</t>
  </si>
  <si>
    <t>งานความปลอดภัย บ้านข้างเคียง และแคมป์คนงาน</t>
  </si>
  <si>
    <t>D1</t>
  </si>
  <si>
    <t>ดูแลพื้นที่ไซต์งาน / คัดกรองแรงงาน / เฝ้าไซต์</t>
  </si>
  <si>
    <t>D2</t>
  </si>
  <si>
    <t>แคมป์คนงาน</t>
  </si>
  <si>
    <t>D2.1 - พ่อบ้าน / แม่บ้านแคมป์</t>
  </si>
  <si>
    <t>D2.2 - งานในแคมป์</t>
  </si>
  <si>
    <t>D3</t>
  </si>
  <si>
    <t>งานติดตั้ง-รื้อถอน วัสดุอุปกรณ์ความปลอดภัย</t>
  </si>
  <si>
    <t>D3.1 - ป้ายความปลอดภัย</t>
  </si>
  <si>
    <t>D3.2 - ราวกันตก / แผงกันฝุ่น / Protection</t>
  </si>
  <si>
    <t>D4</t>
  </si>
  <si>
    <t>งานบริการบ้านข้างเคียง</t>
  </si>
  <si>
    <t>D5</t>
  </si>
  <si>
    <t>งานช่วยเหลือสาธารณะ (CSR)</t>
  </si>
  <si>
    <t>D6</t>
  </si>
  <si>
    <t>ชดเชยค่าแรง (EIA)</t>
  </si>
  <si>
    <t>หมวดส่งงาน</t>
  </si>
  <si>
    <t>E1</t>
  </si>
  <si>
    <t>งานส่งห้องพัก (ส่ง QA Pass)</t>
  </si>
  <si>
    <t>E2</t>
  </si>
  <si>
    <t>งานส่งโถงทางเดิน / โถงลิฟต์ / โถงบันได (ส่ง QA Pass)</t>
  </si>
  <si>
    <t>E3</t>
  </si>
  <si>
    <t>งานส่งพื้นที่ส่วนกลางอื่น ๆ (ส่ง QA Pass)</t>
  </si>
  <si>
    <t>E4</t>
  </si>
  <si>
    <t>งานส่งห้องพัก (ส่งหลัง QA Pass)</t>
  </si>
  <si>
    <t>E5</t>
  </si>
  <si>
    <t>งานส่งส่วนกลาง (ส่งหลัง QA Pass)</t>
  </si>
  <si>
    <t>F</t>
  </si>
  <si>
    <t>งานสกิมและทาสี</t>
  </si>
  <si>
    <t>F1</t>
  </si>
  <si>
    <t>งานทาสีภายใน</t>
  </si>
  <si>
    <t>F1.1 - งานทาสีผนัง ภายใน</t>
  </si>
  <si>
    <t>F1.2 - งานทาสีฝ้าเพดาน ภายใน</t>
  </si>
  <si>
    <t>F2</t>
  </si>
  <si>
    <t>งานทาสีภายนอก</t>
  </si>
  <si>
    <t>F2.1 - งานทาสีผนัง ภายนอก</t>
  </si>
  <si>
    <t>F2.2 - งานทาสีฝ้าเพดาน ภายนอก</t>
  </si>
  <si>
    <t>F3</t>
  </si>
  <si>
    <t>งาน Skim Coat</t>
  </si>
  <si>
    <t>F3.1 - งาน Skim Coat ผนัง</t>
  </si>
  <si>
    <t>F3.2 - งาน Skim Coat ฝ้าเพดาน</t>
  </si>
  <si>
    <t>F3.3 - งาน Skim Coat บันได</t>
  </si>
  <si>
    <t>F4</t>
  </si>
  <si>
    <t>งานทาสีน้ำมัน</t>
  </si>
  <si>
    <t>F4.1 - งานทาสี วงกบ+ประตู</t>
  </si>
  <si>
    <t>F4.2 - งานทาสีราวกันตกระเบียง</t>
  </si>
  <si>
    <t>G</t>
  </si>
  <si>
    <t>DC ทำงานเนื้องาน</t>
  </si>
  <si>
    <t>G1</t>
  </si>
  <si>
    <t>ทำงานเนื้องานโครงสร้าง</t>
  </si>
  <si>
    <t>G2</t>
  </si>
  <si>
    <t>ทำงานเนื้องานสถาปัตย์</t>
  </si>
  <si>
    <t>H</t>
  </si>
  <si>
    <t>เก็บงานแผ่นดินไหว</t>
  </si>
  <si>
    <t>H1</t>
  </si>
  <si>
    <t>เก็บซ่อมงานแผ่นดินไหว</t>
  </si>
  <si>
    <t>I</t>
  </si>
  <si>
    <t>ช่วยงานไซต์อื่น</t>
  </si>
  <si>
    <t>J1</t>
  </si>
  <si>
    <t>ส่งไปช่วยเหลือไซต์อื่น</t>
  </si>
  <si>
    <t>จำนวนแรงงาน DC แยกตามหมวดงาน ประจำเดือน มีนาคม 2569</t>
  </si>
  <si>
    <t>จำนวนแรงงาน DC แยกตามหมวดงาน ประจำเดือน กุมภาพันธ์ 2569</t>
  </si>
  <si>
    <t>รวมราคาค่ารถโดยสาร NCA (700 บาท/เที่ยว)</t>
  </si>
  <si>
    <t>ค่าก่อสร้างแค้มป์ จำนวน 6 หลัง</t>
  </si>
  <si>
    <t>ค่าเช่าพื้นที่ 1.5 ไร่ (130,000 บาท/เดือน)</t>
  </si>
  <si>
    <t>ค่ารถโดยสารไปกลับไซต์ (350 บาท/เที่ยว)</t>
  </si>
  <si>
    <t>ค่ารถโดยสารไปกลับไซต์ NCA (700 บาท/เที่ยว)</t>
  </si>
  <si>
    <t>ประเมินมูลค่าต่างกันประมาณ 2.5 ล้านบาท แต่ยังไม่รวมค่าใช้จ่ายอื่นๆ ดังนี้</t>
  </si>
  <si>
    <t>1.ค่ารื้อถอน - ติดตั้งแค้มป์ (รวมขนส่ง)</t>
  </si>
  <si>
    <t>2.ค่าขอไฟฟ้า - ประปา</t>
  </si>
  <si>
    <t>3.ค่าเทคอนกรีตพื้น , ค่ารั้ว , ค่าก่อสร้างห้องน้ำ</t>
  </si>
  <si>
    <t>จำนวนแรงงาน DC แยกตามหมวดงาน ประจำเดือน เมษายน 2569</t>
  </si>
  <si>
    <t>จำนวนแรงงาน DC แยกตามหมวดงาน ประจำเดือน พฤษภาคม 2569</t>
  </si>
  <si>
    <t>งวดวันที่ 1 - 15</t>
  </si>
  <si>
    <t>งวดวันที่ 16 - 31</t>
  </si>
  <si>
    <t>รวมค่าแรงสะสม</t>
  </si>
  <si>
    <t>รวมค่าแรงต่อเดือน</t>
  </si>
  <si>
    <t>ทำจริง</t>
  </si>
  <si>
    <t>จำนวนแรงงาน DC แยกตามหมวดงาน ประจำเดือน มิถุนายน 2569</t>
  </si>
  <si>
    <t>คงเหลือต่อเดือน</t>
  </si>
  <si>
    <t>คงเหลือสะสม</t>
  </si>
  <si>
    <t>คงเหลือ (บาท/ตร.ม.)</t>
  </si>
  <si>
    <t>จำนวนแรงงาน DC แยกตามหมวดงาน ประจำเดือน กรกฎาคม 2569</t>
  </si>
  <si>
    <t>Life Ratchada-Rama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</si>
</sst>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7" formatCode="_-* #,##0.00_-;\-* #,##0.00_-;_-* &quot;-&quot;??_-;_-@_-"/>
    <numFmt numFmtId="188" formatCode="#,##0.00_ ;[Red]\-#,##0.00\ "/>
    <numFmt numFmtId="189" formatCode="0.0"/>
    <numFmt numFmtId="190" formatCode="_-* #,##0_-;\-* #,##0_-;_-* &quot;-&quot;??_-;_-@_-"/>
    <numFmt numFmtId="191" formatCode="_(* #,##0_);_(* \(#,##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BrowalliaUPC"/>
      <family val="2"/>
    </font>
    <font>
      <sz val="12"/>
      <color rgb="FFFF0000"/>
      <name val="BrowalliaUPC"/>
      <family val="2"/>
    </font>
    <font>
      <sz val="14"/>
      <color rgb="FFFF0000"/>
      <name val="BrowalliaUPC"/>
      <family val="2"/>
    </font>
    <font>
      <b/>
      <sz val="18"/>
      <color theme="1"/>
      <name val="BrowalliaUPC"/>
      <family val="2"/>
    </font>
    <font>
      <sz val="12"/>
      <name val="BrowalliaUPC"/>
      <family val="2"/>
    </font>
    <font>
      <sz val="14"/>
      <name val="BrowalliaUPC"/>
      <family val="2"/>
    </font>
    <font>
      <b/>
      <sz val="16"/>
      <name val="Browallia New"/>
      <family val="2"/>
    </font>
    <font>
      <sz val="16"/>
      <name val="Browallia New"/>
      <family val="2"/>
    </font>
    <font>
      <b/>
      <sz val="18"/>
      <name val="Browallia New"/>
      <family val="2"/>
    </font>
    <font>
      <sz val="20"/>
      <color rgb="FFFF0000"/>
      <name val="Browallia New"/>
      <family val="2"/>
      <charset val="222"/>
    </font>
    <font>
      <sz val="20"/>
      <color rgb="FFFF0000"/>
      <name val="Arial"/>
      <family val="2"/>
      <charset val="222"/>
    </font>
    <font>
      <b/>
      <u/>
      <sz val="16"/>
      <name val="Browallia New"/>
      <family val="2"/>
    </font>
    <font>
      <u/>
      <sz val="16"/>
      <name val="Browallia New"/>
      <family val="2"/>
    </font>
    <font>
      <vertAlign val="superscript"/>
      <sz val="14"/>
      <name val="Browallia New"/>
      <family val="2"/>
    </font>
    <font>
      <sz val="14"/>
      <name val="Browallia New"/>
      <family val="2"/>
    </font>
    <font>
      <sz val="16"/>
      <color theme="1"/>
      <name val="Browallia New"/>
      <family val="2"/>
    </font>
    <font>
      <sz val="16"/>
      <color rgb="FFFF0000"/>
      <name val="Browallia New"/>
      <family val="2"/>
    </font>
    <font>
      <b/>
      <sz val="14"/>
      <color theme="1"/>
      <name val="BrowalliaUPC"/>
      <family val="2"/>
    </font>
    <font>
      <b/>
      <sz val="14"/>
      <color theme="4" tint="-0.249977111117893"/>
      <name val="BrowalliaUPC"/>
      <family val="2"/>
    </font>
    <font>
      <sz val="14"/>
      <color theme="1"/>
      <name val="Browallia New"/>
      <family val="2"/>
    </font>
    <font>
      <b/>
      <sz val="14"/>
      <color theme="4" tint="-0.249977111117893"/>
      <name val="Browallia New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8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7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87" fontId="2" fillId="2" borderId="0" xfId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/>
    </xf>
    <xf numFmtId="9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87" fontId="2" fillId="2" borderId="1" xfId="0" applyNumberFormat="1" applyFont="1" applyFill="1" applyBorder="1" applyAlignment="1">
      <alignment horizontal="center" vertical="center"/>
    </xf>
    <xf numFmtId="187" fontId="2" fillId="2" borderId="1" xfId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88" fontId="2" fillId="2" borderId="1" xfId="0" applyNumberFormat="1" applyFont="1" applyFill="1" applyBorder="1" applyAlignment="1">
      <alignment horizontal="center" vertical="center"/>
    </xf>
    <xf numFmtId="187" fontId="2" fillId="2" borderId="2" xfId="1" applyFont="1" applyFill="1" applyBorder="1" applyAlignment="1">
      <alignment horizontal="center" vertical="center"/>
    </xf>
    <xf numFmtId="187" fontId="2" fillId="2" borderId="0" xfId="0" applyNumberFormat="1" applyFont="1" applyFill="1" applyAlignment="1">
      <alignment horizontal="center" vertical="center"/>
    </xf>
    <xf numFmtId="187" fontId="2" fillId="2" borderId="5" xfId="1" applyFont="1" applyFill="1" applyBorder="1" applyAlignment="1">
      <alignment horizontal="center" vertical="center"/>
    </xf>
    <xf numFmtId="187" fontId="2" fillId="2" borderId="10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7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center"/>
    </xf>
    <xf numFmtId="0" fontId="14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89" fontId="9" fillId="0" borderId="0" xfId="0" applyNumberFormat="1" applyFont="1" applyAlignment="1">
      <alignment vertical="center"/>
    </xf>
    <xf numFmtId="0" fontId="9" fillId="0" borderId="15" xfId="0" applyFont="1" applyBorder="1" applyAlignment="1">
      <alignment horizontal="left" vertical="center" indent="1"/>
    </xf>
    <xf numFmtId="0" fontId="15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14" fillId="0" borderId="15" xfId="0" applyFont="1" applyBorder="1" applyAlignment="1">
      <alignment horizontal="left" vertical="center"/>
    </xf>
    <xf numFmtId="0" fontId="9" fillId="6" borderId="15" xfId="0" applyFont="1" applyFill="1" applyBorder="1" applyAlignment="1">
      <alignment horizontal="center" vertical="center"/>
    </xf>
    <xf numFmtId="0" fontId="9" fillId="9" borderId="20" xfId="0" applyFont="1" applyFill="1" applyBorder="1" applyAlignment="1">
      <alignment horizontal="center" vertical="center"/>
    </xf>
    <xf numFmtId="0" fontId="9" fillId="9" borderId="15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9" fillId="10" borderId="16" xfId="0" applyFont="1" applyFill="1" applyBorder="1" applyAlignment="1">
      <alignment horizontal="center" vertical="center"/>
    </xf>
    <xf numFmtId="0" fontId="9" fillId="10" borderId="15" xfId="0" applyFont="1" applyFill="1" applyBorder="1" applyAlignment="1">
      <alignment horizontal="center" vertical="center"/>
    </xf>
    <xf numFmtId="0" fontId="9" fillId="11" borderId="20" xfId="0" applyFont="1" applyFill="1" applyBorder="1" applyAlignment="1">
      <alignment horizontal="center" vertical="center"/>
    </xf>
    <xf numFmtId="0" fontId="9" fillId="11" borderId="15" xfId="0" applyFont="1" applyFill="1" applyBorder="1" applyAlignment="1">
      <alignment horizontal="center" vertical="center"/>
    </xf>
    <xf numFmtId="0" fontId="9" fillId="12" borderId="16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6" xfId="0" applyFont="1" applyBorder="1" applyAlignment="1">
      <alignment horizontal="left" vertical="center" indent="1"/>
    </xf>
    <xf numFmtId="0" fontId="16" fillId="0" borderId="0" xfId="0" applyFont="1" applyAlignment="1">
      <alignment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190" fontId="9" fillId="14" borderId="1" xfId="1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190" fontId="16" fillId="5" borderId="1" xfId="1" applyNumberFormat="1" applyFont="1" applyFill="1" applyBorder="1" applyAlignment="1">
      <alignment vertical="center"/>
    </xf>
    <xf numFmtId="190" fontId="9" fillId="0" borderId="0" xfId="0" applyNumberFormat="1" applyFont="1" applyAlignment="1">
      <alignment horizontal="center" vertical="center"/>
    </xf>
    <xf numFmtId="190" fontId="18" fillId="0" borderId="0" xfId="0" applyNumberFormat="1" applyFont="1" applyAlignment="1">
      <alignment horizontal="center" vertical="center"/>
    </xf>
    <xf numFmtId="190" fontId="9" fillId="0" borderId="0" xfId="0" applyNumberFormat="1" applyFont="1" applyAlignment="1">
      <alignment vertical="center"/>
    </xf>
    <xf numFmtId="190" fontId="18" fillId="0" borderId="0" xfId="0" applyNumberFormat="1" applyFont="1" applyAlignment="1">
      <alignment vertical="center"/>
    </xf>
    <xf numFmtId="0" fontId="9" fillId="9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0" fontId="9" fillId="3" borderId="14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0" fontId="9" fillId="11" borderId="16" xfId="0" applyFont="1" applyFill="1" applyBorder="1" applyAlignment="1">
      <alignment horizontal="center" vertical="center"/>
    </xf>
    <xf numFmtId="0" fontId="9" fillId="11" borderId="14" xfId="0" applyFont="1" applyFill="1" applyBorder="1" applyAlignment="1">
      <alignment horizontal="center" vertical="center"/>
    </xf>
    <xf numFmtId="0" fontId="9" fillId="12" borderId="25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left" vertical="center"/>
    </xf>
    <xf numFmtId="187" fontId="2" fillId="2" borderId="2" xfId="0" applyNumberFormat="1" applyFont="1" applyFill="1" applyBorder="1" applyAlignment="1">
      <alignment horizontal="center" vertical="center"/>
    </xf>
    <xf numFmtId="187" fontId="2" fillId="2" borderId="5" xfId="0" applyNumberFormat="1" applyFont="1" applyFill="1" applyBorder="1" applyAlignment="1">
      <alignment horizontal="center" vertical="center"/>
    </xf>
    <xf numFmtId="187" fontId="19" fillId="6" borderId="27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91" fontId="9" fillId="0" borderId="0" xfId="0" applyNumberFormat="1" applyFont="1" applyAlignment="1">
      <alignment vertical="center"/>
    </xf>
    <xf numFmtId="191" fontId="18" fillId="0" borderId="0" xfId="0" applyNumberFormat="1" applyFont="1" applyAlignment="1">
      <alignment vertical="center"/>
    </xf>
    <xf numFmtId="0" fontId="8" fillId="9" borderId="2" xfId="0" applyFont="1" applyFill="1" applyBorder="1" applyAlignment="1">
      <alignment vertical="center"/>
    </xf>
    <xf numFmtId="187" fontId="8" fillId="9" borderId="4" xfId="1" applyFont="1" applyFill="1" applyBorder="1" applyAlignment="1">
      <alignment horizontal="center" vertical="center"/>
    </xf>
    <xf numFmtId="190" fontId="8" fillId="9" borderId="3" xfId="0" applyNumberFormat="1" applyFont="1" applyFill="1" applyBorder="1" applyAlignment="1">
      <alignment vertical="center"/>
    </xf>
    <xf numFmtId="190" fontId="8" fillId="9" borderId="3" xfId="0" applyNumberFormat="1" applyFont="1" applyFill="1" applyBorder="1" applyAlignment="1">
      <alignment horizontal="center" vertical="center"/>
    </xf>
    <xf numFmtId="0" fontId="2" fillId="0" borderId="0" xfId="0" applyFont="1"/>
    <xf numFmtId="0" fontId="19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20" fillId="2" borderId="19" xfId="0" applyFont="1" applyFill="1" applyBorder="1" applyAlignment="1">
      <alignment horizontal="center" vertical="center"/>
    </xf>
    <xf numFmtId="0" fontId="20" fillId="2" borderId="19" xfId="0" applyFont="1" applyFill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9" fontId="2" fillId="2" borderId="19" xfId="2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9" fontId="2" fillId="2" borderId="15" xfId="2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21" fillId="0" borderId="15" xfId="0" applyFont="1" applyBorder="1" applyAlignment="1">
      <alignment horizontal="left" vertical="center" indent="1"/>
    </xf>
    <xf numFmtId="0" fontId="2" fillId="0" borderId="2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left" vertical="center" indent="1"/>
    </xf>
    <xf numFmtId="0" fontId="2" fillId="0" borderId="3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9" fontId="2" fillId="2" borderId="17" xfId="2" applyFont="1" applyFill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19" xfId="0" applyFont="1" applyBorder="1" applyAlignment="1">
      <alignment vertical="center"/>
    </xf>
    <xf numFmtId="0" fontId="2" fillId="0" borderId="4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15" xfId="0" applyFont="1" applyBorder="1" applyAlignment="1">
      <alignment horizontal="left" vertical="center" indent="1"/>
    </xf>
    <xf numFmtId="0" fontId="2" fillId="0" borderId="4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 indent="1"/>
    </xf>
    <xf numFmtId="0" fontId="22" fillId="0" borderId="20" xfId="0" applyFont="1" applyBorder="1" applyAlignment="1">
      <alignment horizontal="center" vertical="center"/>
    </xf>
    <xf numFmtId="0" fontId="22" fillId="0" borderId="15" xfId="0" applyFont="1" applyBorder="1" applyAlignment="1">
      <alignment vertical="center"/>
    </xf>
    <xf numFmtId="0" fontId="16" fillId="0" borderId="20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9" fontId="2" fillId="0" borderId="15" xfId="2" applyFont="1" applyFill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22" fillId="0" borderId="17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/>
    </xf>
    <xf numFmtId="0" fontId="22" fillId="0" borderId="24" xfId="3" applyFont="1" applyBorder="1" applyAlignment="1">
      <alignment horizontal="center" vertical="center"/>
    </xf>
    <xf numFmtId="0" fontId="22" fillId="0" borderId="16" xfId="0" applyFont="1" applyBorder="1" applyAlignment="1">
      <alignment vertical="center"/>
    </xf>
    <xf numFmtId="0" fontId="22" fillId="0" borderId="50" xfId="3" applyFont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16" fillId="0" borderId="49" xfId="3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indent="1"/>
    </xf>
    <xf numFmtId="0" fontId="2" fillId="2" borderId="45" xfId="0" applyFont="1" applyFill="1" applyBorder="1" applyAlignment="1">
      <alignment horizontal="center" vertical="center"/>
    </xf>
    <xf numFmtId="0" fontId="16" fillId="0" borderId="24" xfId="3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/>
    </xf>
    <xf numFmtId="0" fontId="21" fillId="0" borderId="16" xfId="0" applyFont="1" applyBorder="1" applyAlignment="1">
      <alignment horizontal="left" vertical="center" indent="1"/>
    </xf>
    <xf numFmtId="0" fontId="16" fillId="0" borderId="50" xfId="3" applyFont="1" applyBorder="1" applyAlignment="1">
      <alignment horizontal="center" vertical="center"/>
    </xf>
    <xf numFmtId="0" fontId="21" fillId="0" borderId="17" xfId="0" applyFont="1" applyBorder="1" applyAlignment="1">
      <alignment horizontal="left" vertical="center" indent="1"/>
    </xf>
    <xf numFmtId="0" fontId="22" fillId="0" borderId="42" xfId="3" applyFont="1" applyBorder="1" applyAlignment="1">
      <alignment horizontal="center" vertical="center"/>
    </xf>
    <xf numFmtId="0" fontId="22" fillId="0" borderId="3" xfId="3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9" fontId="2" fillId="2" borderId="6" xfId="2" applyFont="1" applyFill="1" applyBorder="1" applyAlignment="1">
      <alignment horizontal="center" vertical="center"/>
    </xf>
    <xf numFmtId="0" fontId="22" fillId="0" borderId="1" xfId="3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51" xfId="0" applyFont="1" applyFill="1" applyBorder="1" applyAlignment="1">
      <alignment horizontal="center" vertical="center"/>
    </xf>
    <xf numFmtId="9" fontId="19" fillId="2" borderId="4" xfId="2" applyFont="1" applyFill="1" applyBorder="1" applyAlignment="1">
      <alignment horizontal="center" vertical="center"/>
    </xf>
    <xf numFmtId="9" fontId="19" fillId="2" borderId="1" xfId="2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87" fontId="8" fillId="3" borderId="4" xfId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vertical="center"/>
    </xf>
    <xf numFmtId="187" fontId="8" fillId="0" borderId="0" xfId="0" applyNumberFormat="1" applyFont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87" fontId="2" fillId="2" borderId="4" xfId="1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17" fontId="2" fillId="15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187" fontId="2" fillId="15" borderId="1" xfId="1" applyFont="1" applyFill="1" applyBorder="1" applyAlignment="1">
      <alignment horizontal="center" vertical="center"/>
    </xf>
    <xf numFmtId="187" fontId="2" fillId="15" borderId="1" xfId="0" applyNumberFormat="1" applyFont="1" applyFill="1" applyBorder="1" applyAlignment="1">
      <alignment horizontal="center" vertical="center"/>
    </xf>
    <xf numFmtId="188" fontId="2" fillId="15" borderId="1" xfId="1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17" fontId="2" fillId="16" borderId="1" xfId="0" applyNumberFormat="1" applyFont="1" applyFill="1" applyBorder="1" applyAlignment="1">
      <alignment horizontal="center" vertical="center"/>
    </xf>
    <xf numFmtId="187" fontId="2" fillId="16" borderId="1" xfId="1" applyFont="1" applyFill="1" applyBorder="1" applyAlignment="1">
      <alignment horizontal="center" vertical="center"/>
    </xf>
    <xf numFmtId="187" fontId="2" fillId="16" borderId="1" xfId="0" applyNumberFormat="1" applyFont="1" applyFill="1" applyBorder="1" applyAlignment="1">
      <alignment horizontal="center" vertical="center"/>
    </xf>
    <xf numFmtId="188" fontId="2" fillId="16" borderId="1" xfId="1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9" fontId="6" fillId="6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9" fontId="6" fillId="6" borderId="1" xfId="2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quotePrefix="1" applyFont="1" applyFill="1" applyBorder="1" applyAlignment="1">
      <alignment horizontal="center" vertical="center"/>
    </xf>
    <xf numFmtId="0" fontId="5" fillId="2" borderId="0" xfId="0" quotePrefix="1" applyFont="1" applyFill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87" fontId="2" fillId="2" borderId="2" xfId="1" applyFont="1" applyFill="1" applyBorder="1" applyAlignment="1">
      <alignment horizontal="center" vertical="center"/>
    </xf>
    <xf numFmtId="187" fontId="2" fillId="2" borderId="4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9" fontId="2" fillId="2" borderId="19" xfId="2" applyFont="1" applyFill="1" applyBorder="1" applyAlignment="1">
      <alignment horizontal="center" vertical="center"/>
    </xf>
    <xf numFmtId="9" fontId="2" fillId="2" borderId="17" xfId="2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9" fontId="2" fillId="2" borderId="14" xfId="2" applyFont="1" applyFill="1" applyBorder="1" applyAlignment="1">
      <alignment horizontal="center" vertical="center"/>
    </xf>
    <xf numFmtId="9" fontId="2" fillId="2" borderId="15" xfId="2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9" fontId="2" fillId="2" borderId="16" xfId="2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</cellXfs>
  <cellStyles count="4">
    <cellStyle name="เปอร์เซ็นต์" xfId="2" builtinId="5"/>
    <cellStyle name="จุลภาค" xfId="1" builtinId="3"/>
    <cellStyle name="ปกติ" xfId="0" builtinId="0"/>
    <cellStyle name="ปกติ 2" xfId="3" xr:uid="{AFE093DD-1BEC-461A-A69D-2437196F24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0</xdr:row>
      <xdr:rowOff>205740</xdr:rowOff>
    </xdr:from>
    <xdr:to>
      <xdr:col>1</xdr:col>
      <xdr:colOff>1066800</xdr:colOff>
      <xdr:row>3</xdr:row>
      <xdr:rowOff>175260</xdr:rowOff>
    </xdr:to>
    <xdr:pic>
      <xdr:nvPicPr>
        <xdr:cNvPr id="2" name="Picture 3" descr="27-Real">
          <a:extLst>
            <a:ext uri="{FF2B5EF4-FFF2-40B4-BE49-F238E27FC236}">
              <a16:creationId xmlns:a16="http://schemas.microsoft.com/office/drawing/2014/main" id="{49D4EAEF-FA43-4775-BA8C-4D249DDED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09550"/>
          <a:ext cx="13716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9526</xdr:colOff>
      <xdr:row>6</xdr:row>
      <xdr:rowOff>133349</xdr:rowOff>
    </xdr:from>
    <xdr:to>
      <xdr:col>4</xdr:col>
      <xdr:colOff>0</xdr:colOff>
      <xdr:row>6</xdr:row>
      <xdr:rowOff>209550</xdr:rowOff>
    </xdr:to>
    <xdr:sp macro="" textlink="">
      <xdr:nvSpPr>
        <xdr:cNvPr id="3" name="สี่เหลี่ยมผืนผ้า 2">
          <a:extLst>
            <a:ext uri="{FF2B5EF4-FFF2-40B4-BE49-F238E27FC236}">
              <a16:creationId xmlns:a16="http://schemas.microsoft.com/office/drawing/2014/main" id="{A83E90E1-D5BF-4794-8D2C-1F4A3D4E9D23}"/>
            </a:ext>
          </a:extLst>
        </xdr:cNvPr>
        <xdr:cNvSpPr/>
      </xdr:nvSpPr>
      <xdr:spPr>
        <a:xfrm>
          <a:off x="3630931" y="2146934"/>
          <a:ext cx="864869" cy="685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428625</xdr:colOff>
      <xdr:row>10</xdr:row>
      <xdr:rowOff>133350</xdr:rowOff>
    </xdr:from>
    <xdr:to>
      <xdr:col>9</xdr:col>
      <xdr:colOff>9525</xdr:colOff>
      <xdr:row>10</xdr:row>
      <xdr:rowOff>209550</xdr:rowOff>
    </xdr:to>
    <xdr:sp macro="" textlink="">
      <xdr:nvSpPr>
        <xdr:cNvPr id="4" name="สี่เหลี่ยมผืนผ้า 3">
          <a:extLst>
            <a:ext uri="{FF2B5EF4-FFF2-40B4-BE49-F238E27FC236}">
              <a16:creationId xmlns:a16="http://schemas.microsoft.com/office/drawing/2014/main" id="{815220FA-D2EE-492E-ADE9-75E58B3919FB}"/>
            </a:ext>
          </a:extLst>
        </xdr:cNvPr>
        <xdr:cNvSpPr/>
      </xdr:nvSpPr>
      <xdr:spPr>
        <a:xfrm>
          <a:off x="4926330" y="3396615"/>
          <a:ext cx="1771650" cy="76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9525</xdr:colOff>
      <xdr:row>8</xdr:row>
      <xdr:rowOff>133349</xdr:rowOff>
    </xdr:from>
    <xdr:to>
      <xdr:col>7</xdr:col>
      <xdr:colOff>428625</xdr:colOff>
      <xdr:row>8</xdr:row>
      <xdr:rowOff>200024</xdr:rowOff>
    </xdr:to>
    <xdr:sp macro="" textlink="">
      <xdr:nvSpPr>
        <xdr:cNvPr id="5" name="สี่เหลี่ยมผืนผ้า 4">
          <a:extLst>
            <a:ext uri="{FF2B5EF4-FFF2-40B4-BE49-F238E27FC236}">
              <a16:creationId xmlns:a16="http://schemas.microsoft.com/office/drawing/2014/main" id="{4246E0C8-92AE-4E78-8FBB-7587F35D3C49}"/>
            </a:ext>
          </a:extLst>
        </xdr:cNvPr>
        <xdr:cNvSpPr/>
      </xdr:nvSpPr>
      <xdr:spPr>
        <a:xfrm>
          <a:off x="4069080" y="2775584"/>
          <a:ext cx="2171700" cy="6477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438149</xdr:colOff>
      <xdr:row>12</xdr:row>
      <xdr:rowOff>133349</xdr:rowOff>
    </xdr:from>
    <xdr:to>
      <xdr:col>15</xdr:col>
      <xdr:colOff>9524</xdr:colOff>
      <xdr:row>12</xdr:row>
      <xdr:rowOff>209548</xdr:rowOff>
    </xdr:to>
    <xdr:sp macro="" textlink="">
      <xdr:nvSpPr>
        <xdr:cNvPr id="6" name="สี่เหลี่ยมผืนผ้า 5">
          <a:extLst>
            <a:ext uri="{FF2B5EF4-FFF2-40B4-BE49-F238E27FC236}">
              <a16:creationId xmlns:a16="http://schemas.microsoft.com/office/drawing/2014/main" id="{7570E2E3-3B42-496A-9085-2BC7D50FF5A8}"/>
            </a:ext>
          </a:extLst>
        </xdr:cNvPr>
        <xdr:cNvSpPr/>
      </xdr:nvSpPr>
      <xdr:spPr>
        <a:xfrm flipV="1">
          <a:off x="5375909" y="4032884"/>
          <a:ext cx="3950970" cy="7619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0</xdr:colOff>
      <xdr:row>13</xdr:row>
      <xdr:rowOff>123825</xdr:rowOff>
    </xdr:from>
    <xdr:to>
      <xdr:col>12</xdr:col>
      <xdr:colOff>438149</xdr:colOff>
      <xdr:row>13</xdr:row>
      <xdr:rowOff>200025</xdr:rowOff>
    </xdr:to>
    <xdr:sp macro="" textlink="">
      <xdr:nvSpPr>
        <xdr:cNvPr id="7" name="สี่เหลี่ยมผืนผ้า 6">
          <a:extLst>
            <a:ext uri="{FF2B5EF4-FFF2-40B4-BE49-F238E27FC236}">
              <a16:creationId xmlns:a16="http://schemas.microsoft.com/office/drawing/2014/main" id="{0A20F391-FE95-4599-AD3F-9E232FB060F0}"/>
            </a:ext>
          </a:extLst>
        </xdr:cNvPr>
        <xdr:cNvSpPr/>
      </xdr:nvSpPr>
      <xdr:spPr>
        <a:xfrm>
          <a:off x="6248400" y="4335780"/>
          <a:ext cx="2194559" cy="76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1</xdr:colOff>
      <xdr:row>16</xdr:row>
      <xdr:rowOff>123826</xdr:rowOff>
    </xdr:from>
    <xdr:to>
      <xdr:col>13</xdr:col>
      <xdr:colOff>428625</xdr:colOff>
      <xdr:row>16</xdr:row>
      <xdr:rowOff>200026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BB238EF1-CBCE-4389-85F1-8F016BF5D33A}"/>
            </a:ext>
          </a:extLst>
        </xdr:cNvPr>
        <xdr:cNvSpPr/>
      </xdr:nvSpPr>
      <xdr:spPr>
        <a:xfrm>
          <a:off x="6248401" y="5278756"/>
          <a:ext cx="2621279" cy="76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11</xdr:col>
      <xdr:colOff>9525</xdr:colOff>
      <xdr:row>18</xdr:row>
      <xdr:rowOff>123826</xdr:rowOff>
    </xdr:from>
    <xdr:to>
      <xdr:col>17</xdr:col>
      <xdr:colOff>428625</xdr:colOff>
      <xdr:row>18</xdr:row>
      <xdr:rowOff>209550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AE301640-83EB-4357-AC36-9A1F0A3AC6C7}"/>
            </a:ext>
          </a:extLst>
        </xdr:cNvPr>
        <xdr:cNvSpPr/>
      </xdr:nvSpPr>
      <xdr:spPr>
        <a:xfrm>
          <a:off x="7574280" y="5907406"/>
          <a:ext cx="3048000" cy="8000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428625</xdr:colOff>
      <xdr:row>15</xdr:row>
      <xdr:rowOff>114299</xdr:rowOff>
    </xdr:from>
    <xdr:to>
      <xdr:col>10</xdr:col>
      <xdr:colOff>428625</xdr:colOff>
      <xdr:row>15</xdr:row>
      <xdr:rowOff>200025</xdr:rowOff>
    </xdr:to>
    <xdr:sp macro="" textlink="">
      <xdr:nvSpPr>
        <xdr:cNvPr id="10" name="สี่เหลี่ยมผืนผ้า 9">
          <a:extLst>
            <a:ext uri="{FF2B5EF4-FFF2-40B4-BE49-F238E27FC236}">
              <a16:creationId xmlns:a16="http://schemas.microsoft.com/office/drawing/2014/main" id="{7704FF70-F2C3-4B32-AC4E-AB9B93266CA3}"/>
            </a:ext>
          </a:extLst>
        </xdr:cNvPr>
        <xdr:cNvSpPr/>
      </xdr:nvSpPr>
      <xdr:spPr>
        <a:xfrm>
          <a:off x="4926330" y="4952999"/>
          <a:ext cx="2628900" cy="876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488BE-04BA-49D6-AEAB-1893355D390A}">
  <sheetPr>
    <pageSetUpPr fitToPage="1"/>
  </sheetPr>
  <dimension ref="B2:AB46"/>
  <sheetViews>
    <sheetView tabSelected="1" zoomScale="90" zoomScaleNormal="90" workbookViewId="0">
      <selection activeCell="F43" sqref="F43"/>
    </sheetView>
  </sheetViews>
  <sheetFormatPr defaultColWidth="9" defaultRowHeight="19.8" x14ac:dyDescent="0.25"/>
  <cols>
    <col min="1" max="1" width="3.59765625" style="1" customWidth="1"/>
    <col min="2" max="2" width="10.69921875" style="1" customWidth="1"/>
    <col min="3" max="3" width="20.69921875" style="1" customWidth="1"/>
    <col min="4" max="23" width="12.69921875" style="1" customWidth="1"/>
    <col min="24" max="24" width="5.59765625" style="3" customWidth="1"/>
    <col min="25" max="25" width="13.69921875" style="3" customWidth="1"/>
    <col min="26" max="28" width="13.59765625" style="1" customWidth="1"/>
    <col min="29" max="16384" width="9" style="1"/>
  </cols>
  <sheetData>
    <row r="2" spans="2:28" ht="26.4" x14ac:dyDescent="0.25">
      <c r="B2" s="222" t="s">
        <v>16</v>
      </c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3"/>
      <c r="O2" s="12"/>
      <c r="P2" s="12"/>
    </row>
    <row r="3" spans="2:28" x14ac:dyDescent="0.25">
      <c r="B3" s="224" t="s">
        <v>13</v>
      </c>
      <c r="C3" s="225"/>
      <c r="D3" s="214" t="s">
        <v>3</v>
      </c>
      <c r="E3" s="214" t="s">
        <v>4</v>
      </c>
      <c r="F3" s="214" t="s">
        <v>5</v>
      </c>
      <c r="G3" s="214" t="s">
        <v>7</v>
      </c>
      <c r="H3" s="214" t="s">
        <v>11</v>
      </c>
      <c r="I3" s="214" t="s">
        <v>6</v>
      </c>
      <c r="J3" s="214" t="s">
        <v>8</v>
      </c>
      <c r="K3" s="214" t="s">
        <v>12</v>
      </c>
      <c r="L3" s="214" t="s">
        <v>9</v>
      </c>
      <c r="M3" s="215" t="s">
        <v>10</v>
      </c>
      <c r="N3" s="201"/>
      <c r="O3" s="8"/>
      <c r="P3" s="8"/>
    </row>
    <row r="4" spans="2:28" x14ac:dyDescent="0.25">
      <c r="B4" s="226"/>
      <c r="C4" s="227"/>
      <c r="D4" s="214">
        <v>1</v>
      </c>
      <c r="E4" s="216">
        <v>48399</v>
      </c>
      <c r="F4" s="217">
        <v>0.5</v>
      </c>
      <c r="G4" s="214">
        <v>350</v>
      </c>
      <c r="H4" s="216">
        <f>G4/8*1.5</f>
        <v>65.625</v>
      </c>
      <c r="I4" s="217">
        <v>0.5</v>
      </c>
      <c r="J4" s="214">
        <v>300</v>
      </c>
      <c r="K4" s="216">
        <f>J4/8*1.5</f>
        <v>56.25</v>
      </c>
      <c r="L4" s="214">
        <v>2</v>
      </c>
      <c r="M4" s="214">
        <v>26</v>
      </c>
      <c r="N4" s="201"/>
      <c r="O4" s="8"/>
      <c r="P4" s="8"/>
    </row>
    <row r="5" spans="2:28" x14ac:dyDescent="0.25">
      <c r="B5" s="4"/>
      <c r="C5" s="4"/>
      <c r="D5" s="4"/>
      <c r="E5" s="4"/>
      <c r="F5" s="4"/>
      <c r="G5" s="4"/>
      <c r="H5" s="4"/>
      <c r="I5" s="4"/>
      <c r="J5" s="4"/>
      <c r="K5" s="6"/>
      <c r="L5" s="4"/>
      <c r="M5" s="4"/>
      <c r="N5" s="4"/>
      <c r="O5" s="4"/>
      <c r="P5" s="4"/>
    </row>
    <row r="6" spans="2:28" x14ac:dyDescent="0.25">
      <c r="B6" s="228" t="s">
        <v>15</v>
      </c>
      <c r="C6" s="229"/>
      <c r="D6" s="209"/>
      <c r="E6" s="209"/>
      <c r="F6" s="209"/>
      <c r="G6" s="209"/>
      <c r="H6" s="218"/>
      <c r="I6" s="203">
        <v>1</v>
      </c>
      <c r="J6" s="13">
        <v>2</v>
      </c>
      <c r="K6" s="13">
        <v>3</v>
      </c>
      <c r="L6" s="13">
        <v>4</v>
      </c>
      <c r="M6" s="13">
        <v>5</v>
      </c>
      <c r="N6" s="13">
        <v>6</v>
      </c>
      <c r="O6" s="13">
        <v>7</v>
      </c>
      <c r="P6" s="13">
        <v>8</v>
      </c>
      <c r="Q6" s="13">
        <v>9</v>
      </c>
      <c r="R6" s="13">
        <v>10</v>
      </c>
      <c r="S6" s="13">
        <v>11</v>
      </c>
      <c r="T6" s="13">
        <v>12</v>
      </c>
      <c r="U6" s="13">
        <v>13</v>
      </c>
      <c r="V6" s="13">
        <v>14</v>
      </c>
      <c r="W6" s="13">
        <v>15</v>
      </c>
      <c r="X6" s="1"/>
      <c r="Z6" s="3"/>
    </row>
    <row r="7" spans="2:28" x14ac:dyDescent="0.25">
      <c r="B7" s="228" t="s">
        <v>0</v>
      </c>
      <c r="C7" s="229"/>
      <c r="D7" s="210">
        <v>25235</v>
      </c>
      <c r="E7" s="210">
        <v>25263</v>
      </c>
      <c r="F7" s="210">
        <v>25294</v>
      </c>
      <c r="G7" s="210">
        <v>25324</v>
      </c>
      <c r="H7" s="210">
        <v>25355</v>
      </c>
      <c r="I7" s="204">
        <v>25385</v>
      </c>
      <c r="J7" s="5">
        <v>25416</v>
      </c>
      <c r="K7" s="5">
        <v>25447</v>
      </c>
      <c r="L7" s="5">
        <v>25477</v>
      </c>
      <c r="M7" s="5">
        <v>25508</v>
      </c>
      <c r="N7" s="5">
        <v>25538</v>
      </c>
      <c r="O7" s="5">
        <v>25569</v>
      </c>
      <c r="P7" s="5">
        <v>25600</v>
      </c>
      <c r="Q7" s="5">
        <v>25628</v>
      </c>
      <c r="R7" s="5">
        <v>25659</v>
      </c>
      <c r="S7" s="5">
        <v>25689</v>
      </c>
      <c r="T7" s="5">
        <v>25720</v>
      </c>
      <c r="U7" s="5">
        <v>25750</v>
      </c>
      <c r="V7" s="5">
        <v>25781</v>
      </c>
      <c r="W7" s="5">
        <v>25812</v>
      </c>
      <c r="X7" s="1"/>
      <c r="Z7" s="3"/>
    </row>
    <row r="8" spans="2:28" x14ac:dyDescent="0.2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"/>
      <c r="Z8" s="3"/>
    </row>
    <row r="9" spans="2:28" x14ac:dyDescent="0.25">
      <c r="B9" s="219" t="s">
        <v>17</v>
      </c>
      <c r="C9" s="2" t="s">
        <v>18</v>
      </c>
      <c r="D9" s="209">
        <v>5</v>
      </c>
      <c r="E9" s="209">
        <v>5</v>
      </c>
      <c r="F9" s="209">
        <v>5</v>
      </c>
      <c r="G9" s="209">
        <v>5</v>
      </c>
      <c r="H9" s="209">
        <f>Backup!C33</f>
        <v>20</v>
      </c>
      <c r="I9" s="205">
        <f>Backup!D33</f>
        <v>29</v>
      </c>
      <c r="J9" s="2">
        <f>Backup!E33</f>
        <v>29</v>
      </c>
      <c r="K9" s="2">
        <f>Backup!F33</f>
        <v>29</v>
      </c>
      <c r="L9" s="2">
        <f>Backup!G33</f>
        <v>29</v>
      </c>
      <c r="M9" s="2">
        <f>Backup!H33</f>
        <v>29</v>
      </c>
      <c r="N9" s="2">
        <f>Backup!I33</f>
        <v>29</v>
      </c>
      <c r="O9" s="2">
        <f>Backup!J33</f>
        <v>29</v>
      </c>
      <c r="P9" s="2">
        <f>Backup!K33</f>
        <v>29</v>
      </c>
      <c r="Q9" s="2">
        <f>Backup!L33</f>
        <v>33</v>
      </c>
      <c r="R9" s="2">
        <f>Backup!M33</f>
        <v>33</v>
      </c>
      <c r="S9" s="2">
        <f>Backup!N33</f>
        <v>25</v>
      </c>
      <c r="T9" s="2">
        <f>Backup!O33</f>
        <v>25</v>
      </c>
      <c r="U9" s="2">
        <f>Backup!P33</f>
        <v>10</v>
      </c>
      <c r="V9" s="2">
        <f>Backup!Q33</f>
        <v>10</v>
      </c>
      <c r="W9" s="2">
        <f>Backup!R33</f>
        <v>10</v>
      </c>
      <c r="X9" s="1"/>
      <c r="Y9" s="11" t="s">
        <v>28</v>
      </c>
      <c r="Z9" s="15" t="s">
        <v>33</v>
      </c>
      <c r="AA9" s="231" t="s">
        <v>32</v>
      </c>
      <c r="AB9" s="232"/>
    </row>
    <row r="10" spans="2:28" x14ac:dyDescent="0.25">
      <c r="B10" s="220"/>
      <c r="C10" s="2" t="s">
        <v>19</v>
      </c>
      <c r="D10" s="209">
        <f>D9</f>
        <v>5</v>
      </c>
      <c r="E10" s="209">
        <f>E9+D10</f>
        <v>10</v>
      </c>
      <c r="F10" s="209">
        <f>F9+E10</f>
        <v>15</v>
      </c>
      <c r="G10" s="209">
        <f>G9+F10</f>
        <v>20</v>
      </c>
      <c r="H10" s="209">
        <f>H9+G10</f>
        <v>40</v>
      </c>
      <c r="I10" s="205">
        <f>I9+H10</f>
        <v>69</v>
      </c>
      <c r="J10" s="2">
        <f t="shared" ref="J10:W10" si="0">J9+I10</f>
        <v>98</v>
      </c>
      <c r="K10" s="2">
        <f t="shared" si="0"/>
        <v>127</v>
      </c>
      <c r="L10" s="2">
        <f t="shared" si="0"/>
        <v>156</v>
      </c>
      <c r="M10" s="2">
        <f t="shared" si="0"/>
        <v>185</v>
      </c>
      <c r="N10" s="2">
        <f t="shared" si="0"/>
        <v>214</v>
      </c>
      <c r="O10" s="2">
        <f t="shared" si="0"/>
        <v>243</v>
      </c>
      <c r="P10" s="2">
        <f t="shared" si="0"/>
        <v>272</v>
      </c>
      <c r="Q10" s="2">
        <f t="shared" si="0"/>
        <v>305</v>
      </c>
      <c r="R10" s="2">
        <f>R9+Q10</f>
        <v>338</v>
      </c>
      <c r="S10" s="2">
        <f t="shared" si="0"/>
        <v>363</v>
      </c>
      <c r="T10" s="2">
        <f t="shared" si="0"/>
        <v>388</v>
      </c>
      <c r="U10" s="2">
        <f t="shared" si="0"/>
        <v>398</v>
      </c>
      <c r="V10" s="2">
        <f t="shared" si="0"/>
        <v>408</v>
      </c>
      <c r="W10" s="2">
        <f t="shared" si="0"/>
        <v>418</v>
      </c>
      <c r="X10" s="1"/>
      <c r="Y10" s="11">
        <f>(Y11/((($G$4+($H$4*$L$4))*$F$4)+(($J$4+($K$4*$L$4))*$I$4)))</f>
        <v>2707.6363636363635</v>
      </c>
      <c r="Z10" s="11">
        <f>SUM(D9:W9)*$M$4</f>
        <v>10868</v>
      </c>
      <c r="AA10" s="14">
        <f>Y10-Z10</f>
        <v>-8160.363636363636</v>
      </c>
      <c r="AB10" s="2" t="s">
        <v>29</v>
      </c>
    </row>
    <row r="11" spans="2:28" x14ac:dyDescent="0.25">
      <c r="B11" s="220"/>
      <c r="C11" s="2" t="s">
        <v>21</v>
      </c>
      <c r="D11" s="211">
        <f t="shared" ref="D11:V11" si="1">((($G$4+($H$4*$L$4))*$F$4)+(($J$4+($K$4*$L$4))*$I$4))*D10*$M$4</f>
        <v>58093.75</v>
      </c>
      <c r="E11" s="211">
        <f t="shared" si="1"/>
        <v>116187.5</v>
      </c>
      <c r="F11" s="211">
        <f t="shared" si="1"/>
        <v>174281.25</v>
      </c>
      <c r="G11" s="211">
        <f t="shared" si="1"/>
        <v>232375</v>
      </c>
      <c r="H11" s="211">
        <f t="shared" si="1"/>
        <v>464750</v>
      </c>
      <c r="I11" s="206">
        <f t="shared" si="1"/>
        <v>801693.75</v>
      </c>
      <c r="J11" s="11">
        <f t="shared" si="1"/>
        <v>1138637.5</v>
      </c>
      <c r="K11" s="11">
        <f t="shared" si="1"/>
        <v>1475581.25</v>
      </c>
      <c r="L11" s="11">
        <f t="shared" si="1"/>
        <v>1812525</v>
      </c>
      <c r="M11" s="11">
        <f t="shared" si="1"/>
        <v>2149468.75</v>
      </c>
      <c r="N11" s="11">
        <f t="shared" si="1"/>
        <v>2486412.5</v>
      </c>
      <c r="O11" s="11">
        <f t="shared" si="1"/>
        <v>2823356.25</v>
      </c>
      <c r="P11" s="11">
        <f t="shared" si="1"/>
        <v>3160300</v>
      </c>
      <c r="Q11" s="11">
        <f t="shared" si="1"/>
        <v>3543718.75</v>
      </c>
      <c r="R11" s="11">
        <f t="shared" si="1"/>
        <v>3927137.5</v>
      </c>
      <c r="S11" s="11">
        <f t="shared" si="1"/>
        <v>4217606.25</v>
      </c>
      <c r="T11" s="11">
        <f t="shared" si="1"/>
        <v>4508075</v>
      </c>
      <c r="U11" s="11">
        <f t="shared" si="1"/>
        <v>4624262.5</v>
      </c>
      <c r="V11" s="11">
        <f t="shared" si="1"/>
        <v>4740450</v>
      </c>
      <c r="W11" s="11">
        <f>((($G$4+($H$4*$L$4))*$F$4)+(($J$4+($K$4*$L$4))*$I$4))*W10*$M$4</f>
        <v>4856637.5</v>
      </c>
      <c r="X11" s="1"/>
      <c r="Y11" s="11">
        <f>25*$E$4</f>
        <v>1209975</v>
      </c>
      <c r="Z11" s="17"/>
      <c r="AA11" s="14">
        <f>Y11-W11</f>
        <v>-3646662.5</v>
      </c>
      <c r="AB11" s="2" t="s">
        <v>30</v>
      </c>
    </row>
    <row r="12" spans="2:28" x14ac:dyDescent="0.25">
      <c r="B12" s="221"/>
      <c r="C12" s="2" t="s">
        <v>20</v>
      </c>
      <c r="D12" s="211">
        <f>D11/$E$4</f>
        <v>1.2003088906795596</v>
      </c>
      <c r="E12" s="211">
        <f>E11/$E$4</f>
        <v>2.4006177813591192</v>
      </c>
      <c r="F12" s="211">
        <f>F11/$E$4</f>
        <v>3.6009266720386783</v>
      </c>
      <c r="G12" s="211">
        <f>G11/$E$4</f>
        <v>4.8012355627182384</v>
      </c>
      <c r="H12" s="211">
        <f>H11/$E$4</f>
        <v>9.6024711254364767</v>
      </c>
      <c r="I12" s="206">
        <f t="shared" ref="I12:V12" si="2">I11/$E$4</f>
        <v>16.56426269137792</v>
      </c>
      <c r="J12" s="11">
        <f t="shared" si="2"/>
        <v>23.526054257319366</v>
      </c>
      <c r="K12" s="11">
        <f t="shared" si="2"/>
        <v>30.487845823260812</v>
      </c>
      <c r="L12" s="11">
        <f t="shared" si="2"/>
        <v>37.449637389202259</v>
      </c>
      <c r="M12" s="11">
        <f t="shared" si="2"/>
        <v>44.411428955143698</v>
      </c>
      <c r="N12" s="11">
        <f t="shared" si="2"/>
        <v>51.373220521085145</v>
      </c>
      <c r="O12" s="11">
        <f t="shared" si="2"/>
        <v>58.335012087026591</v>
      </c>
      <c r="P12" s="11">
        <f t="shared" si="2"/>
        <v>65.296803652968038</v>
      </c>
      <c r="Q12" s="11">
        <f t="shared" si="2"/>
        <v>73.218842331453132</v>
      </c>
      <c r="R12" s="11">
        <f t="shared" si="2"/>
        <v>81.140881009938226</v>
      </c>
      <c r="S12" s="11">
        <f t="shared" si="2"/>
        <v>87.142425463336025</v>
      </c>
      <c r="T12" s="11">
        <f t="shared" si="2"/>
        <v>93.143969916733823</v>
      </c>
      <c r="U12" s="11">
        <f t="shared" si="2"/>
        <v>95.54458769809294</v>
      </c>
      <c r="V12" s="11">
        <f t="shared" si="2"/>
        <v>97.945205479452056</v>
      </c>
      <c r="W12" s="11">
        <f>W11/$E$4</f>
        <v>100.34582326081117</v>
      </c>
      <c r="X12" s="1"/>
      <c r="Y12" s="11">
        <f>Y11/$E$4</f>
        <v>25</v>
      </c>
      <c r="Z12" s="18"/>
      <c r="AA12" s="14">
        <f>Y12-W12</f>
        <v>-75.345823260811173</v>
      </c>
      <c r="AB12" s="2" t="s">
        <v>31</v>
      </c>
    </row>
    <row r="13" spans="2:28" x14ac:dyDescent="0.25">
      <c r="E13" s="16"/>
      <c r="F13" s="16"/>
      <c r="G13" s="16"/>
      <c r="H13" s="11"/>
      <c r="N13" s="7"/>
      <c r="X13" s="1"/>
      <c r="Z13" s="3"/>
    </row>
    <row r="14" spans="2:28" x14ac:dyDescent="0.25">
      <c r="B14" s="219" t="s">
        <v>22</v>
      </c>
      <c r="C14" s="2" t="s">
        <v>18</v>
      </c>
      <c r="D14" s="209">
        <v>10</v>
      </c>
      <c r="E14" s="209">
        <v>10</v>
      </c>
      <c r="F14" s="209">
        <v>10</v>
      </c>
      <c r="G14" s="209">
        <v>10</v>
      </c>
      <c r="H14" s="209">
        <f>Backup!C38</f>
        <v>17</v>
      </c>
      <c r="I14" s="205">
        <f>Backup!D38</f>
        <v>24</v>
      </c>
      <c r="J14" s="2">
        <f>Backup!E38</f>
        <v>24</v>
      </c>
      <c r="K14" s="2">
        <f>Backup!F38</f>
        <v>24</v>
      </c>
      <c r="L14" s="2">
        <f>Backup!G38</f>
        <v>24</v>
      </c>
      <c r="M14" s="2">
        <f>Backup!H38</f>
        <v>24</v>
      </c>
      <c r="N14" s="2">
        <f>Backup!I38</f>
        <v>24</v>
      </c>
      <c r="O14" s="2">
        <f>Backup!J38</f>
        <v>18</v>
      </c>
      <c r="P14" s="2">
        <f>Backup!K38</f>
        <v>18</v>
      </c>
      <c r="Q14" s="2">
        <f>Backup!L38</f>
        <v>18</v>
      </c>
      <c r="R14" s="2">
        <f>Backup!M38</f>
        <v>18</v>
      </c>
      <c r="S14" s="2">
        <f>Backup!N38</f>
        <v>18</v>
      </c>
      <c r="T14" s="2">
        <f>Backup!O38</f>
        <v>18</v>
      </c>
      <c r="U14" s="2">
        <f>Backup!P38</f>
        <v>14</v>
      </c>
      <c r="V14" s="2">
        <f>Backup!Q38</f>
        <v>14</v>
      </c>
      <c r="W14" s="2">
        <f>Backup!R38</f>
        <v>13</v>
      </c>
      <c r="X14" s="1"/>
      <c r="Y14" s="11" t="s">
        <v>28</v>
      </c>
      <c r="Z14" s="15" t="s">
        <v>33</v>
      </c>
      <c r="AA14" s="231" t="s">
        <v>32</v>
      </c>
      <c r="AB14" s="232"/>
    </row>
    <row r="15" spans="2:28" x14ac:dyDescent="0.25">
      <c r="B15" s="220"/>
      <c r="C15" s="2" t="s">
        <v>19</v>
      </c>
      <c r="D15" s="209">
        <f>D14</f>
        <v>10</v>
      </c>
      <c r="E15" s="209">
        <f>E14+D15</f>
        <v>20</v>
      </c>
      <c r="F15" s="209">
        <f>F14+E15</f>
        <v>30</v>
      </c>
      <c r="G15" s="209">
        <f>G14+F15</f>
        <v>40</v>
      </c>
      <c r="H15" s="209">
        <f>H14+G15</f>
        <v>57</v>
      </c>
      <c r="I15" s="205">
        <f>I14+H15</f>
        <v>81</v>
      </c>
      <c r="J15" s="2">
        <f t="shared" ref="J15" si="3">J14+I15</f>
        <v>105</v>
      </c>
      <c r="K15" s="2">
        <f t="shared" ref="K15" si="4">K14+J15</f>
        <v>129</v>
      </c>
      <c r="L15" s="2">
        <f t="shared" ref="L15" si="5">L14+K15</f>
        <v>153</v>
      </c>
      <c r="M15" s="2">
        <f t="shared" ref="M15" si="6">M14+L15</f>
        <v>177</v>
      </c>
      <c r="N15" s="2">
        <f t="shared" ref="N15" si="7">N14+M15</f>
        <v>201</v>
      </c>
      <c r="O15" s="2">
        <f t="shared" ref="O15" si="8">O14+N15</f>
        <v>219</v>
      </c>
      <c r="P15" s="2">
        <f t="shared" ref="P15" si="9">P14+O15</f>
        <v>237</v>
      </c>
      <c r="Q15" s="2">
        <f t="shared" ref="Q15" si="10">Q14+P15</f>
        <v>255</v>
      </c>
      <c r="R15" s="2">
        <f>R14+Q15</f>
        <v>273</v>
      </c>
      <c r="S15" s="2">
        <f t="shared" ref="S15" si="11">S14+R15</f>
        <v>291</v>
      </c>
      <c r="T15" s="2">
        <f t="shared" ref="T15" si="12">T14+S15</f>
        <v>309</v>
      </c>
      <c r="U15" s="2">
        <f t="shared" ref="U15" si="13">U14+T15</f>
        <v>323</v>
      </c>
      <c r="V15" s="2">
        <f t="shared" ref="V15" si="14">V14+U15</f>
        <v>337</v>
      </c>
      <c r="W15" s="2">
        <f t="shared" ref="W15" si="15">W14+V15</f>
        <v>350</v>
      </c>
      <c r="X15" s="1"/>
      <c r="Y15" s="11">
        <f>Y16/((($G$4+($H$4*$L$4))*$F$4)+(($J$4+($K$4*$L$4))*$I$4))</f>
        <v>11372.072727272727</v>
      </c>
      <c r="Z15" s="11">
        <f>SUM(D14:W14)*$M$4</f>
        <v>9100</v>
      </c>
      <c r="AA15" s="14">
        <f>Y15-Z15</f>
        <v>2272.0727272727272</v>
      </c>
      <c r="AB15" s="2" t="s">
        <v>29</v>
      </c>
    </row>
    <row r="16" spans="2:28" x14ac:dyDescent="0.25">
      <c r="B16" s="220"/>
      <c r="C16" s="2" t="s">
        <v>21</v>
      </c>
      <c r="D16" s="211">
        <f t="shared" ref="D16:W16" si="16">((($G$4+($H$4*$L$4))*$F$4)+(($J$4+($K$4*$L$4))*$I$4))*D15*$M$4</f>
        <v>116187.5</v>
      </c>
      <c r="E16" s="211">
        <f t="shared" si="16"/>
        <v>232375</v>
      </c>
      <c r="F16" s="211">
        <f t="shared" si="16"/>
        <v>348562.5</v>
      </c>
      <c r="G16" s="211">
        <f t="shared" si="16"/>
        <v>464750</v>
      </c>
      <c r="H16" s="211">
        <f t="shared" si="16"/>
        <v>662268.75</v>
      </c>
      <c r="I16" s="206">
        <f t="shared" si="16"/>
        <v>941118.75</v>
      </c>
      <c r="J16" s="11">
        <f t="shared" si="16"/>
        <v>1219968.75</v>
      </c>
      <c r="K16" s="11">
        <f t="shared" si="16"/>
        <v>1498818.75</v>
      </c>
      <c r="L16" s="11">
        <f t="shared" si="16"/>
        <v>1777668.75</v>
      </c>
      <c r="M16" s="11">
        <f t="shared" si="16"/>
        <v>2056518.75</v>
      </c>
      <c r="N16" s="11">
        <f t="shared" si="16"/>
        <v>2335368.75</v>
      </c>
      <c r="O16" s="11">
        <f t="shared" si="16"/>
        <v>2544506.25</v>
      </c>
      <c r="P16" s="11">
        <f t="shared" si="16"/>
        <v>2753643.75</v>
      </c>
      <c r="Q16" s="11">
        <f t="shared" si="16"/>
        <v>2962781.25</v>
      </c>
      <c r="R16" s="11">
        <f t="shared" si="16"/>
        <v>3171918.75</v>
      </c>
      <c r="S16" s="11">
        <f t="shared" si="16"/>
        <v>3381056.25</v>
      </c>
      <c r="T16" s="11">
        <f t="shared" si="16"/>
        <v>3590193.75</v>
      </c>
      <c r="U16" s="11">
        <f t="shared" si="16"/>
        <v>3752856.25</v>
      </c>
      <c r="V16" s="11">
        <f t="shared" si="16"/>
        <v>3915518.75</v>
      </c>
      <c r="W16" s="11">
        <f t="shared" si="16"/>
        <v>4066562.5</v>
      </c>
      <c r="X16" s="1"/>
      <c r="Y16" s="11">
        <f>105*$E$4</f>
        <v>5081895</v>
      </c>
      <c r="Z16" s="17"/>
      <c r="AA16" s="14">
        <f>Y16-W16</f>
        <v>1015332.5</v>
      </c>
      <c r="AB16" s="2" t="s">
        <v>30</v>
      </c>
    </row>
    <row r="17" spans="2:28" x14ac:dyDescent="0.25">
      <c r="B17" s="221"/>
      <c r="C17" s="2" t="s">
        <v>20</v>
      </c>
      <c r="D17" s="211">
        <f>D16/$E$4</f>
        <v>2.4006177813591192</v>
      </c>
      <c r="E17" s="211">
        <f>E16/$E$4</f>
        <v>4.8012355627182384</v>
      </c>
      <c r="F17" s="211">
        <f>F16/$E$4</f>
        <v>7.2018533440773567</v>
      </c>
      <c r="G17" s="211">
        <f>G16/$E$4</f>
        <v>9.6024711254364767</v>
      </c>
      <c r="H17" s="211">
        <f t="shared" ref="H17:V17" si="17">H16/$E$4</f>
        <v>13.683521353746979</v>
      </c>
      <c r="I17" s="206">
        <f t="shared" si="17"/>
        <v>19.445004029008864</v>
      </c>
      <c r="J17" s="11">
        <f t="shared" si="17"/>
        <v>25.206486704270748</v>
      </c>
      <c r="K17" s="11">
        <f t="shared" si="17"/>
        <v>30.967969379532637</v>
      </c>
      <c r="L17" s="11">
        <f t="shared" si="17"/>
        <v>36.729452054794521</v>
      </c>
      <c r="M17" s="11">
        <f t="shared" si="17"/>
        <v>42.490934730056409</v>
      </c>
      <c r="N17" s="11">
        <f t="shared" si="17"/>
        <v>48.25241740531829</v>
      </c>
      <c r="O17" s="11">
        <f t="shared" si="17"/>
        <v>52.573529411764703</v>
      </c>
      <c r="P17" s="11">
        <f t="shared" si="17"/>
        <v>56.894641418211123</v>
      </c>
      <c r="Q17" s="11">
        <f t="shared" si="17"/>
        <v>61.215753424657535</v>
      </c>
      <c r="R17" s="11">
        <f t="shared" si="17"/>
        <v>65.536865431103948</v>
      </c>
      <c r="S17" s="11">
        <f t="shared" si="17"/>
        <v>69.85797743755036</v>
      </c>
      <c r="T17" s="11">
        <f t="shared" si="17"/>
        <v>74.179089443996773</v>
      </c>
      <c r="U17" s="11">
        <f t="shared" si="17"/>
        <v>77.539954337899545</v>
      </c>
      <c r="V17" s="11">
        <f t="shared" si="17"/>
        <v>80.900819231802316</v>
      </c>
      <c r="W17" s="11">
        <f>W16/$E$4</f>
        <v>84.021622347569163</v>
      </c>
      <c r="X17" s="1"/>
      <c r="Y17" s="11">
        <f>Y16/$E$4</f>
        <v>105</v>
      </c>
      <c r="Z17" s="18"/>
      <c r="AA17" s="14">
        <f>Y17-W17</f>
        <v>20.978377652430837</v>
      </c>
      <c r="AB17" s="2" t="s">
        <v>31</v>
      </c>
    </row>
    <row r="18" spans="2:28" x14ac:dyDescent="0.25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"/>
      <c r="Z18" s="3"/>
    </row>
    <row r="19" spans="2:28" x14ac:dyDescent="0.25">
      <c r="B19" s="219" t="s">
        <v>23</v>
      </c>
      <c r="C19" s="2" t="s">
        <v>18</v>
      </c>
      <c r="D19" s="209">
        <v>0</v>
      </c>
      <c r="E19" s="209">
        <v>0</v>
      </c>
      <c r="F19" s="209">
        <v>0</v>
      </c>
      <c r="G19" s="209">
        <v>0</v>
      </c>
      <c r="H19" s="209">
        <f>Backup!C44</f>
        <v>4</v>
      </c>
      <c r="I19" s="205">
        <f>Backup!D44</f>
        <v>8</v>
      </c>
      <c r="J19" s="2">
        <f>Backup!E44</f>
        <v>12</v>
      </c>
      <c r="K19" s="2">
        <f>Backup!F44</f>
        <v>24</v>
      </c>
      <c r="L19" s="2">
        <f>Backup!G44</f>
        <v>56</v>
      </c>
      <c r="M19" s="2">
        <f>Backup!H44</f>
        <v>56</v>
      </c>
      <c r="N19" s="2">
        <f>Backup!I44</f>
        <v>56</v>
      </c>
      <c r="O19" s="2">
        <f>Backup!J44</f>
        <v>56</v>
      </c>
      <c r="P19" s="2">
        <f>Backup!K44</f>
        <v>48</v>
      </c>
      <c r="Q19" s="2">
        <f>Backup!L44</f>
        <v>48</v>
      </c>
      <c r="R19" s="2">
        <f>Backup!M44</f>
        <v>48</v>
      </c>
      <c r="S19" s="2">
        <f>Backup!N44</f>
        <v>48</v>
      </c>
      <c r="T19" s="2">
        <f>Backup!O44</f>
        <v>48</v>
      </c>
      <c r="U19" s="2">
        <f>Backup!P44</f>
        <v>36</v>
      </c>
      <c r="V19" s="2">
        <f>Backup!Q44</f>
        <v>20</v>
      </c>
      <c r="W19" s="2">
        <f>Backup!R44</f>
        <v>4</v>
      </c>
      <c r="X19" s="1"/>
      <c r="Y19" s="11" t="s">
        <v>28</v>
      </c>
      <c r="Z19" s="15" t="s">
        <v>33</v>
      </c>
      <c r="AA19" s="231" t="s">
        <v>32</v>
      </c>
      <c r="AB19" s="232"/>
    </row>
    <row r="20" spans="2:28" x14ac:dyDescent="0.25">
      <c r="B20" s="220"/>
      <c r="C20" s="2" t="s">
        <v>19</v>
      </c>
      <c r="D20" s="209">
        <f>D19</f>
        <v>0</v>
      </c>
      <c r="E20" s="209">
        <f>E19+D20</f>
        <v>0</v>
      </c>
      <c r="F20" s="209">
        <f>F19+E20</f>
        <v>0</v>
      </c>
      <c r="G20" s="209">
        <f>G19+F20</f>
        <v>0</v>
      </c>
      <c r="H20" s="209">
        <f>H19+G20</f>
        <v>4</v>
      </c>
      <c r="I20" s="205">
        <f>I19+H20</f>
        <v>12</v>
      </c>
      <c r="J20" s="2">
        <f t="shared" ref="J20" si="18">J19+I20</f>
        <v>24</v>
      </c>
      <c r="K20" s="2">
        <f t="shared" ref="K20" si="19">K19+J20</f>
        <v>48</v>
      </c>
      <c r="L20" s="2">
        <f t="shared" ref="L20" si="20">L19+K20</f>
        <v>104</v>
      </c>
      <c r="M20" s="2">
        <f t="shared" ref="M20" si="21">M19+L20</f>
        <v>160</v>
      </c>
      <c r="N20" s="2">
        <f t="shared" ref="N20" si="22">N19+M20</f>
        <v>216</v>
      </c>
      <c r="O20" s="2">
        <f t="shared" ref="O20" si="23">O19+N20</f>
        <v>272</v>
      </c>
      <c r="P20" s="2">
        <f t="shared" ref="P20" si="24">P19+O20</f>
        <v>320</v>
      </c>
      <c r="Q20" s="2">
        <f t="shared" ref="Q20" si="25">Q19+P20</f>
        <v>368</v>
      </c>
      <c r="R20" s="2">
        <f>R19+Q20</f>
        <v>416</v>
      </c>
      <c r="S20" s="2">
        <f t="shared" ref="S20" si="26">S19+R20</f>
        <v>464</v>
      </c>
      <c r="T20" s="2">
        <f t="shared" ref="T20" si="27">T19+S20</f>
        <v>512</v>
      </c>
      <c r="U20" s="2">
        <f t="shared" ref="U20" si="28">U19+T20</f>
        <v>548</v>
      </c>
      <c r="V20" s="2">
        <f t="shared" ref="V20" si="29">V19+U20</f>
        <v>568</v>
      </c>
      <c r="W20" s="2">
        <f t="shared" ref="W20" si="30">W19+V20</f>
        <v>572</v>
      </c>
      <c r="X20" s="1"/>
      <c r="Y20" s="11">
        <f>Y21/((($G$4+($H$4*$L$4))*$F$4)+(($J$4+($K$4*$L$4))*$I$4))</f>
        <v>24910.254545454547</v>
      </c>
      <c r="Z20" s="11">
        <f>SUM(D19:W19)*$M$4</f>
        <v>14872</v>
      </c>
      <c r="AA20" s="14">
        <f>Y20-Z20</f>
        <v>10038.254545454547</v>
      </c>
      <c r="AB20" s="2" t="s">
        <v>29</v>
      </c>
    </row>
    <row r="21" spans="2:28" x14ac:dyDescent="0.25">
      <c r="B21" s="220"/>
      <c r="C21" s="2" t="s">
        <v>21</v>
      </c>
      <c r="D21" s="211">
        <f t="shared" ref="D21:W21" si="31">((($G$4+($H$4*$L$4))*$F$4)+(($J$4+($K$4*$L$4))*$I$4))*D20*$M$4</f>
        <v>0</v>
      </c>
      <c r="E21" s="211">
        <f t="shared" si="31"/>
        <v>0</v>
      </c>
      <c r="F21" s="211">
        <f t="shared" si="31"/>
        <v>0</v>
      </c>
      <c r="G21" s="211">
        <f t="shared" si="31"/>
        <v>0</v>
      </c>
      <c r="H21" s="211">
        <f t="shared" si="31"/>
        <v>46475</v>
      </c>
      <c r="I21" s="206">
        <f t="shared" si="31"/>
        <v>139425</v>
      </c>
      <c r="J21" s="11">
        <f t="shared" si="31"/>
        <v>278850</v>
      </c>
      <c r="K21" s="11">
        <f t="shared" si="31"/>
        <v>557700</v>
      </c>
      <c r="L21" s="11">
        <f t="shared" si="31"/>
        <v>1208350</v>
      </c>
      <c r="M21" s="11">
        <f t="shared" si="31"/>
        <v>1859000</v>
      </c>
      <c r="N21" s="11">
        <f t="shared" si="31"/>
        <v>2509650</v>
      </c>
      <c r="O21" s="11">
        <f t="shared" si="31"/>
        <v>3160300</v>
      </c>
      <c r="P21" s="11">
        <f t="shared" si="31"/>
        <v>3718000</v>
      </c>
      <c r="Q21" s="11">
        <f t="shared" si="31"/>
        <v>4275700</v>
      </c>
      <c r="R21" s="11">
        <f t="shared" si="31"/>
        <v>4833400</v>
      </c>
      <c r="S21" s="11">
        <f t="shared" si="31"/>
        <v>5391100</v>
      </c>
      <c r="T21" s="11">
        <f t="shared" si="31"/>
        <v>5948800</v>
      </c>
      <c r="U21" s="11">
        <f t="shared" si="31"/>
        <v>6367075</v>
      </c>
      <c r="V21" s="11">
        <f t="shared" si="31"/>
        <v>6599450</v>
      </c>
      <c r="W21" s="11">
        <f t="shared" si="31"/>
        <v>6645925</v>
      </c>
      <c r="X21" s="1"/>
      <c r="Y21" s="11">
        <f>230*$E$4</f>
        <v>11131770</v>
      </c>
      <c r="Z21" s="17"/>
      <c r="AA21" s="14">
        <f>Y21-W21</f>
        <v>4485845</v>
      </c>
      <c r="AB21" s="2" t="s">
        <v>30</v>
      </c>
    </row>
    <row r="22" spans="2:28" x14ac:dyDescent="0.25">
      <c r="B22" s="221"/>
      <c r="C22" s="2" t="s">
        <v>20</v>
      </c>
      <c r="D22" s="211">
        <f>D21/$E$4</f>
        <v>0</v>
      </c>
      <c r="E22" s="211">
        <f>E21/$E$4</f>
        <v>0</v>
      </c>
      <c r="F22" s="211">
        <f>F21/$E$4</f>
        <v>0</v>
      </c>
      <c r="G22" s="211">
        <f>G21/$E$4</f>
        <v>0</v>
      </c>
      <c r="H22" s="211">
        <f>H21/$E$4</f>
        <v>0.96024711254364759</v>
      </c>
      <c r="I22" s="206">
        <f t="shared" ref="I22:V22" si="32">I21/$E$4</f>
        <v>2.8807413376309428</v>
      </c>
      <c r="J22" s="11">
        <f t="shared" si="32"/>
        <v>5.7614826752618855</v>
      </c>
      <c r="K22" s="11">
        <f t="shared" si="32"/>
        <v>11.522965350523771</v>
      </c>
      <c r="L22" s="11">
        <f t="shared" si="32"/>
        <v>24.966424926134838</v>
      </c>
      <c r="M22" s="11">
        <f t="shared" si="32"/>
        <v>38.409884501745907</v>
      </c>
      <c r="N22" s="11">
        <f t="shared" si="32"/>
        <v>51.853344077356972</v>
      </c>
      <c r="O22" s="11">
        <f t="shared" si="32"/>
        <v>65.296803652968038</v>
      </c>
      <c r="P22" s="11">
        <f t="shared" si="32"/>
        <v>76.819769003491814</v>
      </c>
      <c r="Q22" s="11">
        <f t="shared" si="32"/>
        <v>88.342734354015576</v>
      </c>
      <c r="R22" s="11">
        <f t="shared" si="32"/>
        <v>99.865699704539352</v>
      </c>
      <c r="S22" s="11">
        <f t="shared" si="32"/>
        <v>111.38866505506311</v>
      </c>
      <c r="T22" s="11">
        <f t="shared" si="32"/>
        <v>122.91163040558689</v>
      </c>
      <c r="U22" s="11">
        <f t="shared" si="32"/>
        <v>131.55385441847972</v>
      </c>
      <c r="V22" s="11">
        <f t="shared" si="32"/>
        <v>136.35508998119795</v>
      </c>
      <c r="W22" s="11">
        <f>W21/$E$4</f>
        <v>137.31533709374162</v>
      </c>
      <c r="X22" s="1"/>
      <c r="Y22" s="11">
        <f>Y21/$E$4</f>
        <v>230</v>
      </c>
      <c r="Z22" s="18"/>
      <c r="AA22" s="14">
        <f>Y22-W22</f>
        <v>92.684662906258382</v>
      </c>
      <c r="AB22" s="2" t="s">
        <v>31</v>
      </c>
    </row>
    <row r="23" spans="2:28" x14ac:dyDescent="0.25">
      <c r="D23" s="3"/>
      <c r="E23" s="3"/>
      <c r="F23" s="3"/>
      <c r="G23" s="3"/>
      <c r="H23" s="3"/>
      <c r="I23" s="3"/>
      <c r="J23" s="3"/>
      <c r="K23" s="3"/>
      <c r="L23" s="3"/>
      <c r="M23" s="3"/>
      <c r="X23" s="1"/>
      <c r="Z23" s="3"/>
    </row>
    <row r="24" spans="2:28" x14ac:dyDescent="0.25">
      <c r="B24" s="219" t="s">
        <v>24</v>
      </c>
      <c r="C24" s="2" t="s">
        <v>18</v>
      </c>
      <c r="D24" s="209">
        <v>4</v>
      </c>
      <c r="E24" s="209">
        <v>4</v>
      </c>
      <c r="F24" s="209">
        <v>4</v>
      </c>
      <c r="G24" s="209">
        <v>4</v>
      </c>
      <c r="H24" s="209">
        <f>Backup!C47</f>
        <v>6</v>
      </c>
      <c r="I24" s="205">
        <f>Backup!D47</f>
        <v>10</v>
      </c>
      <c r="J24" s="2">
        <f>Backup!E47</f>
        <v>14</v>
      </c>
      <c r="K24" s="2">
        <f>Backup!F47</f>
        <v>18</v>
      </c>
      <c r="L24" s="2">
        <f>Backup!G47</f>
        <v>18</v>
      </c>
      <c r="M24" s="2">
        <f>Backup!H47</f>
        <v>18</v>
      </c>
      <c r="N24" s="2">
        <f>Backup!I47</f>
        <v>18</v>
      </c>
      <c r="O24" s="2">
        <f>Backup!J47</f>
        <v>18</v>
      </c>
      <c r="P24" s="2">
        <f>Backup!K47</f>
        <v>18</v>
      </c>
      <c r="Q24" s="2">
        <f>Backup!L47</f>
        <v>18</v>
      </c>
      <c r="R24" s="2">
        <f>Backup!M47</f>
        <v>18</v>
      </c>
      <c r="S24" s="2">
        <f>Backup!N47</f>
        <v>18</v>
      </c>
      <c r="T24" s="2">
        <f>Backup!O47</f>
        <v>18</v>
      </c>
      <c r="U24" s="2">
        <f>Backup!P47</f>
        <v>14</v>
      </c>
      <c r="V24" s="2">
        <f>Backup!Q47</f>
        <v>10</v>
      </c>
      <c r="W24" s="2">
        <f>Backup!R47</f>
        <v>6</v>
      </c>
      <c r="X24" s="1"/>
      <c r="Y24" s="11" t="s">
        <v>28</v>
      </c>
      <c r="Z24" s="15" t="s">
        <v>33</v>
      </c>
      <c r="AA24" s="231" t="s">
        <v>32</v>
      </c>
      <c r="AB24" s="232"/>
    </row>
    <row r="25" spans="2:28" x14ac:dyDescent="0.25">
      <c r="B25" s="220"/>
      <c r="C25" s="2" t="s">
        <v>19</v>
      </c>
      <c r="D25" s="209">
        <f>D24</f>
        <v>4</v>
      </c>
      <c r="E25" s="209">
        <f>E24+D25</f>
        <v>8</v>
      </c>
      <c r="F25" s="209">
        <f>F24+E25</f>
        <v>12</v>
      </c>
      <c r="G25" s="209">
        <f>G24+F25</f>
        <v>16</v>
      </c>
      <c r="H25" s="209">
        <f>H24+G25</f>
        <v>22</v>
      </c>
      <c r="I25" s="205">
        <f>I24+H25</f>
        <v>32</v>
      </c>
      <c r="J25" s="2">
        <f t="shared" ref="J25" si="33">J24+I25</f>
        <v>46</v>
      </c>
      <c r="K25" s="2">
        <f t="shared" ref="K25" si="34">K24+J25</f>
        <v>64</v>
      </c>
      <c r="L25" s="2">
        <f t="shared" ref="L25" si="35">L24+K25</f>
        <v>82</v>
      </c>
      <c r="M25" s="2">
        <f t="shared" ref="M25" si="36">M24+L25</f>
        <v>100</v>
      </c>
      <c r="N25" s="2">
        <f t="shared" ref="N25" si="37">N24+M25</f>
        <v>118</v>
      </c>
      <c r="O25" s="2">
        <f t="shared" ref="O25" si="38">O24+N25</f>
        <v>136</v>
      </c>
      <c r="P25" s="2">
        <f t="shared" ref="P25" si="39">P24+O25</f>
        <v>154</v>
      </c>
      <c r="Q25" s="2">
        <f t="shared" ref="Q25" si="40">Q24+P25</f>
        <v>172</v>
      </c>
      <c r="R25" s="2">
        <f>R24+Q25</f>
        <v>190</v>
      </c>
      <c r="S25" s="2">
        <f t="shared" ref="S25" si="41">S24+R25</f>
        <v>208</v>
      </c>
      <c r="T25" s="2">
        <f t="shared" ref="T25" si="42">T24+S25</f>
        <v>226</v>
      </c>
      <c r="U25" s="2">
        <f t="shared" ref="U25" si="43">U24+T25</f>
        <v>240</v>
      </c>
      <c r="V25" s="2">
        <f t="shared" ref="V25" si="44">V24+U25</f>
        <v>250</v>
      </c>
      <c r="W25" s="2">
        <f t="shared" ref="W25" si="45">W24+V25</f>
        <v>256</v>
      </c>
      <c r="X25" s="1"/>
      <c r="Y25" s="11">
        <f>Y26/((($G$4+($H$4*$L$4))*$F$4)+(($J$4+($K$4*$L$4))*$I$4))</f>
        <v>4332.2181818181816</v>
      </c>
      <c r="Z25" s="11">
        <f>SUM(D24:W24)*$M$4</f>
        <v>6656</v>
      </c>
      <c r="AA25" s="14">
        <f>Y25-Z25</f>
        <v>-2323.7818181818184</v>
      </c>
      <c r="AB25" s="2" t="s">
        <v>29</v>
      </c>
    </row>
    <row r="26" spans="2:28" x14ac:dyDescent="0.25">
      <c r="B26" s="220"/>
      <c r="C26" s="2" t="s">
        <v>21</v>
      </c>
      <c r="D26" s="211">
        <f t="shared" ref="D26:W26" si="46">((($G$4+($H$4*$L$4))*$F$4)+(($J$4+($K$4*$L$4))*$I$4))*D25*$M$4</f>
        <v>46475</v>
      </c>
      <c r="E26" s="211">
        <f t="shared" si="46"/>
        <v>92950</v>
      </c>
      <c r="F26" s="211">
        <f t="shared" si="46"/>
        <v>139425</v>
      </c>
      <c r="G26" s="211">
        <f t="shared" si="46"/>
        <v>185900</v>
      </c>
      <c r="H26" s="211">
        <f t="shared" si="46"/>
        <v>255612.5</v>
      </c>
      <c r="I26" s="206">
        <f t="shared" si="46"/>
        <v>371800</v>
      </c>
      <c r="J26" s="11">
        <f t="shared" si="46"/>
        <v>534462.5</v>
      </c>
      <c r="K26" s="11">
        <f t="shared" si="46"/>
        <v>743600</v>
      </c>
      <c r="L26" s="11">
        <f t="shared" si="46"/>
        <v>952737.5</v>
      </c>
      <c r="M26" s="11">
        <f t="shared" si="46"/>
        <v>1161875</v>
      </c>
      <c r="N26" s="11">
        <f t="shared" si="46"/>
        <v>1371012.5</v>
      </c>
      <c r="O26" s="11">
        <f t="shared" si="46"/>
        <v>1580150</v>
      </c>
      <c r="P26" s="11">
        <f t="shared" si="46"/>
        <v>1789287.5</v>
      </c>
      <c r="Q26" s="11">
        <f t="shared" si="46"/>
        <v>1998425</v>
      </c>
      <c r="R26" s="11">
        <f t="shared" si="46"/>
        <v>2207562.5</v>
      </c>
      <c r="S26" s="11">
        <f t="shared" si="46"/>
        <v>2416700</v>
      </c>
      <c r="T26" s="11">
        <f t="shared" si="46"/>
        <v>2625837.5</v>
      </c>
      <c r="U26" s="11">
        <f t="shared" si="46"/>
        <v>2788500</v>
      </c>
      <c r="V26" s="11">
        <f t="shared" si="46"/>
        <v>2904687.5</v>
      </c>
      <c r="W26" s="11">
        <f t="shared" si="46"/>
        <v>2974400</v>
      </c>
      <c r="X26" s="1"/>
      <c r="Y26" s="11">
        <f>40*$E$4</f>
        <v>1935960</v>
      </c>
      <c r="Z26" s="17"/>
      <c r="AA26" s="14">
        <f>Y26-W26</f>
        <v>-1038440</v>
      </c>
      <c r="AB26" s="2" t="s">
        <v>30</v>
      </c>
    </row>
    <row r="27" spans="2:28" x14ac:dyDescent="0.25">
      <c r="B27" s="221"/>
      <c r="C27" s="2" t="s">
        <v>20</v>
      </c>
      <c r="D27" s="211">
        <f>D26/$E$4</f>
        <v>0.96024711254364759</v>
      </c>
      <c r="E27" s="211">
        <f>E26/$E$4</f>
        <v>1.9204942250872952</v>
      </c>
      <c r="F27" s="211">
        <f>F26/$E$4</f>
        <v>2.8807413376309428</v>
      </c>
      <c r="G27" s="211">
        <f>G26/$E$4</f>
        <v>3.8409884501745903</v>
      </c>
      <c r="H27" s="211">
        <f>H26/$E$4</f>
        <v>5.2813591189900615</v>
      </c>
      <c r="I27" s="206">
        <f t="shared" ref="I27:V27" si="47">I26/$E$4</f>
        <v>7.6819769003491807</v>
      </c>
      <c r="J27" s="11">
        <f t="shared" si="47"/>
        <v>11.042841794251947</v>
      </c>
      <c r="K27" s="11">
        <f t="shared" si="47"/>
        <v>15.363953800698361</v>
      </c>
      <c r="L27" s="11">
        <f t="shared" si="47"/>
        <v>19.685065807144774</v>
      </c>
      <c r="M27" s="11">
        <f t="shared" si="47"/>
        <v>24.00617781359119</v>
      </c>
      <c r="N27" s="11">
        <f t="shared" si="47"/>
        <v>28.327289820037603</v>
      </c>
      <c r="O27" s="11">
        <f t="shared" si="47"/>
        <v>32.648401826484019</v>
      </c>
      <c r="P27" s="11">
        <f t="shared" si="47"/>
        <v>36.969513832930431</v>
      </c>
      <c r="Q27" s="11">
        <f t="shared" si="47"/>
        <v>41.290625839376844</v>
      </c>
      <c r="R27" s="11">
        <f t="shared" si="47"/>
        <v>45.611737845823264</v>
      </c>
      <c r="S27" s="11">
        <f t="shared" si="47"/>
        <v>49.932849852269676</v>
      </c>
      <c r="T27" s="11">
        <f t="shared" si="47"/>
        <v>54.253961858716089</v>
      </c>
      <c r="U27" s="11">
        <f t="shared" si="47"/>
        <v>57.614826752618853</v>
      </c>
      <c r="V27" s="11">
        <f t="shared" si="47"/>
        <v>60.015444533977977</v>
      </c>
      <c r="W27" s="11">
        <f>W26/$E$4</f>
        <v>61.455815202793445</v>
      </c>
      <c r="X27" s="1"/>
      <c r="Y27" s="11">
        <f>Y26/$E$4</f>
        <v>40</v>
      </c>
      <c r="Z27" s="18"/>
      <c r="AA27" s="14">
        <f>Y27-W27</f>
        <v>-21.455815202793445</v>
      </c>
      <c r="AB27" s="2" t="s">
        <v>31</v>
      </c>
    </row>
    <row r="28" spans="2:28" x14ac:dyDescent="0.25">
      <c r="D28" s="3"/>
      <c r="E28" s="3"/>
      <c r="F28" s="3"/>
      <c r="G28" s="3"/>
      <c r="H28" s="3"/>
      <c r="I28" s="3"/>
      <c r="J28" s="3"/>
      <c r="K28" s="3"/>
      <c r="L28" s="3"/>
      <c r="M28" s="3"/>
      <c r="X28" s="1"/>
      <c r="Z28" s="3"/>
    </row>
    <row r="29" spans="2:28" x14ac:dyDescent="0.25">
      <c r="B29" s="228" t="s">
        <v>25</v>
      </c>
      <c r="C29" s="229"/>
      <c r="D29" s="211">
        <f t="shared" ref="D29:E29" si="48">(D9+D14+D19+D24)*$F$4</f>
        <v>9.5</v>
      </c>
      <c r="E29" s="211">
        <f t="shared" si="48"/>
        <v>9.5</v>
      </c>
      <c r="F29" s="211">
        <f t="shared" ref="F29:W29" si="49">(F9+F14+F19+F24)*$F$4</f>
        <v>9.5</v>
      </c>
      <c r="G29" s="211">
        <f t="shared" si="49"/>
        <v>9.5</v>
      </c>
      <c r="H29" s="211">
        <f t="shared" si="49"/>
        <v>23.5</v>
      </c>
      <c r="I29" s="206">
        <f t="shared" si="49"/>
        <v>35.5</v>
      </c>
      <c r="J29" s="11">
        <f t="shared" si="49"/>
        <v>39.5</v>
      </c>
      <c r="K29" s="11">
        <f t="shared" si="49"/>
        <v>47.5</v>
      </c>
      <c r="L29" s="11">
        <f t="shared" si="49"/>
        <v>63.5</v>
      </c>
      <c r="M29" s="11">
        <f t="shared" si="49"/>
        <v>63.5</v>
      </c>
      <c r="N29" s="11">
        <f t="shared" si="49"/>
        <v>63.5</v>
      </c>
      <c r="O29" s="11">
        <f t="shared" si="49"/>
        <v>60.5</v>
      </c>
      <c r="P29" s="11">
        <f t="shared" si="49"/>
        <v>56.5</v>
      </c>
      <c r="Q29" s="11">
        <f t="shared" si="49"/>
        <v>58.5</v>
      </c>
      <c r="R29" s="11">
        <f t="shared" si="49"/>
        <v>58.5</v>
      </c>
      <c r="S29" s="11">
        <f t="shared" si="49"/>
        <v>54.5</v>
      </c>
      <c r="T29" s="11">
        <f t="shared" si="49"/>
        <v>54.5</v>
      </c>
      <c r="U29" s="11">
        <f t="shared" si="49"/>
        <v>37</v>
      </c>
      <c r="V29" s="11">
        <f t="shared" si="49"/>
        <v>27</v>
      </c>
      <c r="W29" s="11">
        <f t="shared" si="49"/>
        <v>16.5</v>
      </c>
      <c r="X29" s="1"/>
      <c r="Z29" s="3"/>
    </row>
    <row r="30" spans="2:28" x14ac:dyDescent="0.25">
      <c r="B30" s="228" t="s">
        <v>26</v>
      </c>
      <c r="C30" s="229"/>
      <c r="D30" s="211">
        <f t="shared" ref="D30:W30" si="50">(D9+D14+D19+D24)*$I$4</f>
        <v>9.5</v>
      </c>
      <c r="E30" s="211">
        <f t="shared" si="50"/>
        <v>9.5</v>
      </c>
      <c r="F30" s="211">
        <f t="shared" si="50"/>
        <v>9.5</v>
      </c>
      <c r="G30" s="211">
        <f t="shared" si="50"/>
        <v>9.5</v>
      </c>
      <c r="H30" s="211">
        <f t="shared" si="50"/>
        <v>23.5</v>
      </c>
      <c r="I30" s="206">
        <f t="shared" si="50"/>
        <v>35.5</v>
      </c>
      <c r="J30" s="11">
        <f t="shared" si="50"/>
        <v>39.5</v>
      </c>
      <c r="K30" s="11">
        <f t="shared" si="50"/>
        <v>47.5</v>
      </c>
      <c r="L30" s="11">
        <f t="shared" si="50"/>
        <v>63.5</v>
      </c>
      <c r="M30" s="11">
        <f t="shared" si="50"/>
        <v>63.5</v>
      </c>
      <c r="N30" s="11">
        <f t="shared" si="50"/>
        <v>63.5</v>
      </c>
      <c r="O30" s="11">
        <f t="shared" si="50"/>
        <v>60.5</v>
      </c>
      <c r="P30" s="11">
        <f t="shared" si="50"/>
        <v>56.5</v>
      </c>
      <c r="Q30" s="11">
        <f t="shared" si="50"/>
        <v>58.5</v>
      </c>
      <c r="R30" s="11">
        <f t="shared" si="50"/>
        <v>58.5</v>
      </c>
      <c r="S30" s="11">
        <f t="shared" si="50"/>
        <v>54.5</v>
      </c>
      <c r="T30" s="11">
        <f t="shared" si="50"/>
        <v>54.5</v>
      </c>
      <c r="U30" s="11">
        <f t="shared" si="50"/>
        <v>37</v>
      </c>
      <c r="V30" s="11">
        <f t="shared" si="50"/>
        <v>27</v>
      </c>
      <c r="W30" s="11">
        <f t="shared" si="50"/>
        <v>16.5</v>
      </c>
      <c r="X30" s="1"/>
      <c r="Z30" s="3"/>
    </row>
    <row r="31" spans="2:28" x14ac:dyDescent="0.25">
      <c r="B31" s="228" t="s">
        <v>153</v>
      </c>
      <c r="C31" s="229"/>
      <c r="D31" s="211">
        <f>SUM(D29:D30)</f>
        <v>19</v>
      </c>
      <c r="E31" s="211">
        <f t="shared" ref="E31" si="51">SUM(E29:E30)</f>
        <v>19</v>
      </c>
      <c r="F31" s="211">
        <f t="shared" ref="F31" si="52">SUM(F29:F30)</f>
        <v>19</v>
      </c>
      <c r="G31" s="211">
        <f t="shared" ref="G31" si="53">SUM(G29:G30)</f>
        <v>19</v>
      </c>
      <c r="H31" s="211">
        <f t="shared" ref="H31:W31" si="54">SUM(H29:H30)</f>
        <v>47</v>
      </c>
      <c r="I31" s="206">
        <f t="shared" si="54"/>
        <v>71</v>
      </c>
      <c r="J31" s="11">
        <f t="shared" si="54"/>
        <v>79</v>
      </c>
      <c r="K31" s="11">
        <f t="shared" si="54"/>
        <v>95</v>
      </c>
      <c r="L31" s="11">
        <f t="shared" si="54"/>
        <v>127</v>
      </c>
      <c r="M31" s="11">
        <f t="shared" si="54"/>
        <v>127</v>
      </c>
      <c r="N31" s="11">
        <f t="shared" si="54"/>
        <v>127</v>
      </c>
      <c r="O31" s="11">
        <f t="shared" si="54"/>
        <v>121</v>
      </c>
      <c r="P31" s="11">
        <f t="shared" si="54"/>
        <v>113</v>
      </c>
      <c r="Q31" s="11">
        <f t="shared" si="54"/>
        <v>117</v>
      </c>
      <c r="R31" s="11">
        <f t="shared" si="54"/>
        <v>117</v>
      </c>
      <c r="S31" s="11">
        <f t="shared" si="54"/>
        <v>109</v>
      </c>
      <c r="T31" s="11">
        <f t="shared" si="54"/>
        <v>109</v>
      </c>
      <c r="U31" s="11">
        <f t="shared" si="54"/>
        <v>74</v>
      </c>
      <c r="V31" s="11">
        <f t="shared" si="54"/>
        <v>54</v>
      </c>
      <c r="W31" s="11">
        <f t="shared" si="54"/>
        <v>33</v>
      </c>
      <c r="X31" s="1"/>
      <c r="Z31" s="3"/>
    </row>
    <row r="32" spans="2:28" x14ac:dyDescent="0.25">
      <c r="B32" s="228" t="s">
        <v>1</v>
      </c>
      <c r="C32" s="229"/>
      <c r="D32" s="211">
        <f t="shared" ref="D32:W32" si="55">((D29*$G$4)+(D30*$J$4))*$M$4</f>
        <v>160550</v>
      </c>
      <c r="E32" s="211">
        <f t="shared" si="55"/>
        <v>160550</v>
      </c>
      <c r="F32" s="211">
        <f t="shared" si="55"/>
        <v>160550</v>
      </c>
      <c r="G32" s="211">
        <f t="shared" si="55"/>
        <v>160550</v>
      </c>
      <c r="H32" s="211">
        <f t="shared" si="55"/>
        <v>397150</v>
      </c>
      <c r="I32" s="206">
        <f t="shared" si="55"/>
        <v>599950</v>
      </c>
      <c r="J32" s="11">
        <f t="shared" si="55"/>
        <v>667550</v>
      </c>
      <c r="K32" s="11">
        <f t="shared" si="55"/>
        <v>802750</v>
      </c>
      <c r="L32" s="11">
        <f t="shared" si="55"/>
        <v>1073150</v>
      </c>
      <c r="M32" s="11">
        <f t="shared" si="55"/>
        <v>1073150</v>
      </c>
      <c r="N32" s="11">
        <f t="shared" si="55"/>
        <v>1073150</v>
      </c>
      <c r="O32" s="11">
        <f t="shared" si="55"/>
        <v>1022450</v>
      </c>
      <c r="P32" s="11">
        <f t="shared" si="55"/>
        <v>954850</v>
      </c>
      <c r="Q32" s="11">
        <f t="shared" si="55"/>
        <v>988650</v>
      </c>
      <c r="R32" s="11">
        <f t="shared" si="55"/>
        <v>988650</v>
      </c>
      <c r="S32" s="11">
        <f t="shared" si="55"/>
        <v>921050</v>
      </c>
      <c r="T32" s="11">
        <f t="shared" si="55"/>
        <v>921050</v>
      </c>
      <c r="U32" s="11">
        <f t="shared" si="55"/>
        <v>625300</v>
      </c>
      <c r="V32" s="11">
        <f t="shared" si="55"/>
        <v>456300</v>
      </c>
      <c r="W32" s="11">
        <f t="shared" si="55"/>
        <v>278850</v>
      </c>
      <c r="X32" s="1"/>
      <c r="Y32" s="11" t="s">
        <v>28</v>
      </c>
      <c r="Z32" s="15" t="s">
        <v>33</v>
      </c>
      <c r="AA32" s="15" t="s">
        <v>32</v>
      </c>
      <c r="AB32" s="202"/>
    </row>
    <row r="33" spans="2:28" x14ac:dyDescent="0.25">
      <c r="B33" s="228" t="s">
        <v>14</v>
      </c>
      <c r="C33" s="229"/>
      <c r="D33" s="212">
        <f t="shared" ref="D33:W33" si="56">((D29*$H$4*$L$4)+(D30*$K$4*$L$4))*$M$4</f>
        <v>60206.25</v>
      </c>
      <c r="E33" s="212">
        <f t="shared" si="56"/>
        <v>60206.25</v>
      </c>
      <c r="F33" s="212">
        <f t="shared" si="56"/>
        <v>60206.25</v>
      </c>
      <c r="G33" s="212">
        <f t="shared" si="56"/>
        <v>60206.25</v>
      </c>
      <c r="H33" s="212">
        <f t="shared" si="56"/>
        <v>148931.25</v>
      </c>
      <c r="I33" s="207">
        <f t="shared" si="56"/>
        <v>224981.25</v>
      </c>
      <c r="J33" s="10">
        <f t="shared" si="56"/>
        <v>250331.25</v>
      </c>
      <c r="K33" s="10">
        <f t="shared" si="56"/>
        <v>301031.25</v>
      </c>
      <c r="L33" s="10">
        <f t="shared" si="56"/>
        <v>402431.25</v>
      </c>
      <c r="M33" s="10">
        <f t="shared" si="56"/>
        <v>402431.25</v>
      </c>
      <c r="N33" s="10">
        <f t="shared" si="56"/>
        <v>402431.25</v>
      </c>
      <c r="O33" s="10">
        <f t="shared" si="56"/>
        <v>383418.75</v>
      </c>
      <c r="P33" s="10">
        <f t="shared" si="56"/>
        <v>358068.75</v>
      </c>
      <c r="Q33" s="10">
        <f t="shared" si="56"/>
        <v>370743.75</v>
      </c>
      <c r="R33" s="10">
        <f t="shared" si="56"/>
        <v>370743.75</v>
      </c>
      <c r="S33" s="10">
        <f t="shared" si="56"/>
        <v>345393.75</v>
      </c>
      <c r="T33" s="10">
        <f t="shared" si="56"/>
        <v>345393.75</v>
      </c>
      <c r="U33" s="10">
        <f t="shared" si="56"/>
        <v>234487.5</v>
      </c>
      <c r="V33" s="10">
        <f t="shared" si="56"/>
        <v>171112.5</v>
      </c>
      <c r="W33" s="10">
        <f t="shared" si="56"/>
        <v>104568.75</v>
      </c>
      <c r="X33" s="1"/>
      <c r="Y33" s="11">
        <f>Y34/((($G$4+($H$4*$L$4))*$F$4)+(($J$4+($K$4*$L$4))*$I$4))</f>
        <v>43322.181818181816</v>
      </c>
      <c r="Z33" s="11">
        <f>SUM(D29:W30)*$M$4</f>
        <v>41496</v>
      </c>
      <c r="AA33" s="14">
        <f>Y33-Z33</f>
        <v>1826.1818181818162</v>
      </c>
      <c r="AB33" s="2" t="s">
        <v>29</v>
      </c>
    </row>
    <row r="34" spans="2:28" x14ac:dyDescent="0.25">
      <c r="B34" s="228" t="s">
        <v>27</v>
      </c>
      <c r="C34" s="229"/>
      <c r="D34" s="212">
        <f>SUM(D32:D33)</f>
        <v>220756.25</v>
      </c>
      <c r="E34" s="212">
        <f t="shared" ref="E34" si="57">SUM(E32:E33)</f>
        <v>220756.25</v>
      </c>
      <c r="F34" s="212">
        <f t="shared" ref="F34:W34" si="58">SUM(F32:F33)</f>
        <v>220756.25</v>
      </c>
      <c r="G34" s="212">
        <f t="shared" si="58"/>
        <v>220756.25</v>
      </c>
      <c r="H34" s="212">
        <f t="shared" si="58"/>
        <v>546081.25</v>
      </c>
      <c r="I34" s="207">
        <f t="shared" si="58"/>
        <v>824931.25</v>
      </c>
      <c r="J34" s="10">
        <f t="shared" si="58"/>
        <v>917881.25</v>
      </c>
      <c r="K34" s="10">
        <f t="shared" si="58"/>
        <v>1103781.25</v>
      </c>
      <c r="L34" s="10">
        <f t="shared" si="58"/>
        <v>1475581.25</v>
      </c>
      <c r="M34" s="10">
        <f t="shared" si="58"/>
        <v>1475581.25</v>
      </c>
      <c r="N34" s="10">
        <f t="shared" si="58"/>
        <v>1475581.25</v>
      </c>
      <c r="O34" s="10">
        <f t="shared" si="58"/>
        <v>1405868.75</v>
      </c>
      <c r="P34" s="10">
        <f t="shared" si="58"/>
        <v>1312918.75</v>
      </c>
      <c r="Q34" s="10">
        <f t="shared" si="58"/>
        <v>1359393.75</v>
      </c>
      <c r="R34" s="10">
        <f t="shared" si="58"/>
        <v>1359393.75</v>
      </c>
      <c r="S34" s="10">
        <f t="shared" si="58"/>
        <v>1266443.75</v>
      </c>
      <c r="T34" s="10">
        <f t="shared" si="58"/>
        <v>1266443.75</v>
      </c>
      <c r="U34" s="10">
        <f t="shared" si="58"/>
        <v>859787.5</v>
      </c>
      <c r="V34" s="10">
        <f t="shared" si="58"/>
        <v>627412.5</v>
      </c>
      <c r="W34" s="10">
        <f t="shared" si="58"/>
        <v>383418.75</v>
      </c>
      <c r="X34" s="1"/>
      <c r="Y34" s="11">
        <f>400*$E$4</f>
        <v>19359600</v>
      </c>
      <c r="Z34" s="17"/>
      <c r="AA34" s="14">
        <f>Y34-W35</f>
        <v>816075</v>
      </c>
      <c r="AB34" s="2" t="s">
        <v>30</v>
      </c>
    </row>
    <row r="35" spans="2:28" ht="20.399999999999999" thickBot="1" x14ac:dyDescent="0.3">
      <c r="B35" s="228" t="s">
        <v>2</v>
      </c>
      <c r="C35" s="229"/>
      <c r="D35" s="212">
        <f>D34</f>
        <v>220756.25</v>
      </c>
      <c r="E35" s="212">
        <f t="shared" ref="E35:J35" si="59">E34+D35</f>
        <v>441512.5</v>
      </c>
      <c r="F35" s="212">
        <f t="shared" si="59"/>
        <v>662268.75</v>
      </c>
      <c r="G35" s="212">
        <f t="shared" si="59"/>
        <v>883025</v>
      </c>
      <c r="H35" s="212">
        <f t="shared" si="59"/>
        <v>1429106.25</v>
      </c>
      <c r="I35" s="207">
        <f t="shared" si="59"/>
        <v>2254037.5</v>
      </c>
      <c r="J35" s="10">
        <f t="shared" si="59"/>
        <v>3171918.75</v>
      </c>
      <c r="K35" s="10">
        <f t="shared" ref="K35:V35" si="60">K34+J35</f>
        <v>4275700</v>
      </c>
      <c r="L35" s="10">
        <f t="shared" si="60"/>
        <v>5751281.25</v>
      </c>
      <c r="M35" s="10">
        <f t="shared" si="60"/>
        <v>7226862.5</v>
      </c>
      <c r="N35" s="10">
        <f t="shared" si="60"/>
        <v>8702443.75</v>
      </c>
      <c r="O35" s="10">
        <f t="shared" si="60"/>
        <v>10108312.5</v>
      </c>
      <c r="P35" s="10">
        <f t="shared" si="60"/>
        <v>11421231.25</v>
      </c>
      <c r="Q35" s="10">
        <f t="shared" si="60"/>
        <v>12780625</v>
      </c>
      <c r="R35" s="10">
        <f t="shared" si="60"/>
        <v>14140018.75</v>
      </c>
      <c r="S35" s="10">
        <f t="shared" si="60"/>
        <v>15406462.5</v>
      </c>
      <c r="T35" s="10">
        <f t="shared" si="60"/>
        <v>16672906.25</v>
      </c>
      <c r="U35" s="10">
        <f t="shared" si="60"/>
        <v>17532693.75</v>
      </c>
      <c r="V35" s="10">
        <f t="shared" si="60"/>
        <v>18160106.25</v>
      </c>
      <c r="W35" s="106">
        <f>W34+V35</f>
        <v>18543525</v>
      </c>
      <c r="X35" s="1"/>
      <c r="Y35" s="11">
        <f>Y34/$E$4</f>
        <v>400</v>
      </c>
      <c r="Z35" s="18"/>
      <c r="AA35" s="14">
        <f>Y35-W36</f>
        <v>16.8614020950846</v>
      </c>
      <c r="AB35" s="2" t="s">
        <v>31</v>
      </c>
    </row>
    <row r="36" spans="2:28" ht="21" thickBot="1" x14ac:dyDescent="0.3">
      <c r="B36" s="228" t="s">
        <v>20</v>
      </c>
      <c r="C36" s="229"/>
      <c r="D36" s="212">
        <f>D35/$E$4</f>
        <v>4.5611737845823264</v>
      </c>
      <c r="E36" s="212">
        <f>E35/$E$4</f>
        <v>9.1223475691646527</v>
      </c>
      <c r="F36" s="212">
        <f>F35/$E$4</f>
        <v>13.683521353746979</v>
      </c>
      <c r="G36" s="212">
        <f>G35/$E$4</f>
        <v>18.244695138329305</v>
      </c>
      <c r="H36" s="212">
        <f>H35/$E$4</f>
        <v>29.527598710717164</v>
      </c>
      <c r="I36" s="207">
        <f t="shared" ref="I36:W36" si="61">I35/$E$4</f>
        <v>46.571984958366912</v>
      </c>
      <c r="J36" s="10">
        <f t="shared" si="61"/>
        <v>65.536865431103948</v>
      </c>
      <c r="K36" s="10">
        <f t="shared" si="61"/>
        <v>88.342734354015576</v>
      </c>
      <c r="L36" s="10">
        <f t="shared" si="61"/>
        <v>118.83058017727639</v>
      </c>
      <c r="M36" s="10">
        <f t="shared" si="61"/>
        <v>149.31842600053722</v>
      </c>
      <c r="N36" s="10">
        <f t="shared" si="61"/>
        <v>179.806271823798</v>
      </c>
      <c r="O36" s="10">
        <f t="shared" si="61"/>
        <v>208.85374697824335</v>
      </c>
      <c r="P36" s="10">
        <f t="shared" si="61"/>
        <v>235.98072790760139</v>
      </c>
      <c r="Q36" s="10">
        <f t="shared" si="61"/>
        <v>264.06795594950307</v>
      </c>
      <c r="R36" s="10">
        <f t="shared" si="61"/>
        <v>292.15518399140478</v>
      </c>
      <c r="S36" s="10">
        <f t="shared" si="61"/>
        <v>318.32191780821915</v>
      </c>
      <c r="T36" s="10">
        <f t="shared" si="61"/>
        <v>344.48865162503358</v>
      </c>
      <c r="U36" s="10">
        <f t="shared" si="61"/>
        <v>362.25322320709108</v>
      </c>
      <c r="V36" s="105">
        <f t="shared" si="61"/>
        <v>375.21655922643032</v>
      </c>
      <c r="W36" s="107">
        <f t="shared" si="61"/>
        <v>383.1385979049154</v>
      </c>
      <c r="X36" s="1"/>
      <c r="Z36" s="3"/>
    </row>
    <row r="38" spans="2:28" x14ac:dyDescent="0.25">
      <c r="B38" s="230" t="s">
        <v>317</v>
      </c>
      <c r="C38" s="2" t="s">
        <v>313</v>
      </c>
      <c r="D38" s="211">
        <v>87850</v>
      </c>
      <c r="E38" s="211">
        <v>100968.76</v>
      </c>
      <c r="F38" s="211">
        <v>76234.42</v>
      </c>
      <c r="G38" s="211">
        <v>130154.08</v>
      </c>
      <c r="H38" s="211">
        <v>216440.38</v>
      </c>
      <c r="I38" s="206"/>
    </row>
    <row r="39" spans="2:28" x14ac:dyDescent="0.25">
      <c r="B39" s="230"/>
      <c r="C39" s="2" t="s">
        <v>314</v>
      </c>
      <c r="D39" s="211">
        <v>86839.07</v>
      </c>
      <c r="E39" s="211">
        <v>86681.27</v>
      </c>
      <c r="F39" s="211">
        <v>84178.14</v>
      </c>
      <c r="G39" s="211">
        <v>193995.94</v>
      </c>
      <c r="H39" s="211">
        <v>273808.18</v>
      </c>
      <c r="I39" s="206"/>
    </row>
    <row r="40" spans="2:28" x14ac:dyDescent="0.25">
      <c r="B40" s="230"/>
      <c r="C40" s="2" t="s">
        <v>316</v>
      </c>
      <c r="D40" s="211">
        <f>D38+D39</f>
        <v>174689.07</v>
      </c>
      <c r="E40" s="211">
        <f>E38+E39</f>
        <v>187650.03</v>
      </c>
      <c r="F40" s="211">
        <f t="shared" ref="F40:H40" si="62">F38+F39</f>
        <v>160412.56</v>
      </c>
      <c r="G40" s="211">
        <f t="shared" si="62"/>
        <v>324150.02</v>
      </c>
      <c r="H40" s="211">
        <f t="shared" si="62"/>
        <v>490248.56</v>
      </c>
      <c r="I40" s="206">
        <f t="shared" ref="I40" si="63">I38+I39</f>
        <v>0</v>
      </c>
    </row>
    <row r="41" spans="2:28" x14ac:dyDescent="0.25">
      <c r="B41" s="230"/>
      <c r="C41" s="2" t="s">
        <v>315</v>
      </c>
      <c r="D41" s="212">
        <f>D40</f>
        <v>174689.07</v>
      </c>
      <c r="E41" s="212">
        <f>E40+D41</f>
        <v>362339.1</v>
      </c>
      <c r="F41" s="212">
        <f>F40+E41</f>
        <v>522751.66</v>
      </c>
      <c r="G41" s="212">
        <f>G40+F41</f>
        <v>846901.67999999993</v>
      </c>
      <c r="H41" s="212">
        <f>H40+G41</f>
        <v>1337150.24</v>
      </c>
      <c r="I41" s="207">
        <f>I40+H41</f>
        <v>1337150.24</v>
      </c>
    </row>
    <row r="42" spans="2:28" x14ac:dyDescent="0.25">
      <c r="B42" s="230"/>
      <c r="C42" s="2" t="s">
        <v>20</v>
      </c>
      <c r="D42" s="212">
        <f>D41/$E$4</f>
        <v>3.6093528791917189</v>
      </c>
      <c r="E42" s="212">
        <f t="shared" ref="E42:F42" si="64">E41/$E$4</f>
        <v>7.4864997210686166</v>
      </c>
      <c r="F42" s="212">
        <f t="shared" si="64"/>
        <v>10.800877290853116</v>
      </c>
      <c r="G42" s="212">
        <f>G41/$E$4</f>
        <v>17.498330130787824</v>
      </c>
      <c r="H42" s="212">
        <f>H41/$E$4</f>
        <v>27.627641893427551</v>
      </c>
      <c r="I42" s="207">
        <f>I41/$E$4</f>
        <v>27.627641893427551</v>
      </c>
    </row>
    <row r="44" spans="2:28" x14ac:dyDescent="0.25">
      <c r="B44" s="219" t="s">
        <v>32</v>
      </c>
      <c r="C44" s="2" t="s">
        <v>319</v>
      </c>
      <c r="D44" s="213">
        <f>D34-D40</f>
        <v>46067.179999999993</v>
      </c>
      <c r="E44" s="213">
        <f t="shared" ref="E44:F44" si="65">E34-E40</f>
        <v>33106.22</v>
      </c>
      <c r="F44" s="213">
        <f t="shared" si="65"/>
        <v>60343.69</v>
      </c>
      <c r="G44" s="213">
        <f>G34-G40</f>
        <v>-103393.77000000002</v>
      </c>
      <c r="H44" s="213">
        <f>H34-H40</f>
        <v>55832.69</v>
      </c>
      <c r="I44" s="208">
        <f>I34-I40</f>
        <v>824931.25</v>
      </c>
    </row>
    <row r="45" spans="2:28" x14ac:dyDescent="0.25">
      <c r="B45" s="220"/>
      <c r="C45" s="2" t="s">
        <v>320</v>
      </c>
      <c r="D45" s="213">
        <f>D44</f>
        <v>46067.179999999993</v>
      </c>
      <c r="E45" s="213">
        <f>E44+D45</f>
        <v>79173.399999999994</v>
      </c>
      <c r="F45" s="213">
        <f>F44+E45</f>
        <v>139517.09</v>
      </c>
      <c r="G45" s="213">
        <f>G44+F45</f>
        <v>36123.319999999978</v>
      </c>
      <c r="H45" s="213">
        <f>H44+G45</f>
        <v>91956.00999999998</v>
      </c>
      <c r="I45" s="208">
        <f>I44+H45</f>
        <v>916887.26</v>
      </c>
    </row>
    <row r="46" spans="2:28" x14ac:dyDescent="0.25">
      <c r="B46" s="221"/>
      <c r="C46" s="2" t="s">
        <v>321</v>
      </c>
      <c r="D46" s="213">
        <f>D45/$E$4</f>
        <v>0.95182090539060715</v>
      </c>
      <c r="E46" s="213">
        <f t="shared" ref="E46:F46" si="66">E45/$E$4</f>
        <v>1.635847848096035</v>
      </c>
      <c r="F46" s="213">
        <f t="shared" si="66"/>
        <v>2.8826440628938612</v>
      </c>
      <c r="G46" s="213">
        <f>G45/$E$4</f>
        <v>0.74636500754147772</v>
      </c>
      <c r="H46" s="213">
        <f>H45/$E$4</f>
        <v>1.8999568172896131</v>
      </c>
      <c r="I46" s="208">
        <f>I45/$E$4</f>
        <v>18.944343064939357</v>
      </c>
    </row>
  </sheetData>
  <mergeCells count="22">
    <mergeCell ref="AA9:AB9"/>
    <mergeCell ref="AA14:AB14"/>
    <mergeCell ref="AA19:AB19"/>
    <mergeCell ref="AA24:AB24"/>
    <mergeCell ref="B14:B17"/>
    <mergeCell ref="B19:B22"/>
    <mergeCell ref="B24:B27"/>
    <mergeCell ref="B44:B46"/>
    <mergeCell ref="B2:N2"/>
    <mergeCell ref="B3:C4"/>
    <mergeCell ref="B7:C7"/>
    <mergeCell ref="B6:C6"/>
    <mergeCell ref="B9:B12"/>
    <mergeCell ref="B38:B42"/>
    <mergeCell ref="B36:C36"/>
    <mergeCell ref="B35:C35"/>
    <mergeCell ref="B31:C31"/>
    <mergeCell ref="B29:C29"/>
    <mergeCell ref="B30:C30"/>
    <mergeCell ref="B32:C32"/>
    <mergeCell ref="B33:C33"/>
    <mergeCell ref="B34:C34"/>
  </mergeCells>
  <printOptions horizontalCentered="1"/>
  <pageMargins left="0.31496062992125984" right="0.31496062992125984" top="0.35433070866141736" bottom="0.35433070866141736" header="0.31496062992125984" footer="0.31496062992125984"/>
  <pageSetup paperSize="8" scale="66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EDDF-7327-4D13-8950-43AFE2307F9B}">
  <sheetPr>
    <pageSetUpPr fitToPage="1"/>
  </sheetPr>
  <dimension ref="A1:U101"/>
  <sheetViews>
    <sheetView topLeftCell="A19" zoomScale="70" zoomScaleNormal="70" workbookViewId="0">
      <selection activeCell="V21" sqref="V21"/>
    </sheetView>
  </sheetViews>
  <sheetFormatPr defaultColWidth="9.09765625" defaultRowHeight="24.9" customHeight="1" x14ac:dyDescent="0.25"/>
  <cols>
    <col min="1" max="1" width="6.69921875" style="20" customWidth="1"/>
    <col min="2" max="2" width="40.69921875" style="21" customWidth="1"/>
    <col min="3" max="5" width="5.69921875" style="21" customWidth="1"/>
    <col min="6" max="18" width="5.69921875" style="20" customWidth="1"/>
    <col min="19" max="19" width="20.69921875" style="20" customWidth="1"/>
    <col min="20" max="251" width="9.09765625" style="21"/>
    <col min="252" max="252" width="6.69921875" style="21" customWidth="1"/>
    <col min="253" max="253" width="40.69921875" style="21" customWidth="1"/>
    <col min="254" max="273" width="5.69921875" style="21" customWidth="1"/>
    <col min="274" max="274" width="22" style="21" customWidth="1"/>
    <col min="275" max="507" width="9.09765625" style="21"/>
    <col min="508" max="508" width="6.69921875" style="21" customWidth="1"/>
    <col min="509" max="509" width="40.69921875" style="21" customWidth="1"/>
    <col min="510" max="529" width="5.69921875" style="21" customWidth="1"/>
    <col min="530" max="530" width="22" style="21" customWidth="1"/>
    <col min="531" max="763" width="9.09765625" style="21"/>
    <col min="764" max="764" width="6.69921875" style="21" customWidth="1"/>
    <col min="765" max="765" width="40.69921875" style="21" customWidth="1"/>
    <col min="766" max="785" width="5.69921875" style="21" customWidth="1"/>
    <col min="786" max="786" width="22" style="21" customWidth="1"/>
    <col min="787" max="1019" width="9.09765625" style="21"/>
    <col min="1020" max="1020" width="6.69921875" style="21" customWidth="1"/>
    <col min="1021" max="1021" width="40.69921875" style="21" customWidth="1"/>
    <col min="1022" max="1041" width="5.69921875" style="21" customWidth="1"/>
    <col min="1042" max="1042" width="22" style="21" customWidth="1"/>
    <col min="1043" max="1275" width="9.09765625" style="21"/>
    <col min="1276" max="1276" width="6.69921875" style="21" customWidth="1"/>
    <col min="1277" max="1277" width="40.69921875" style="21" customWidth="1"/>
    <col min="1278" max="1297" width="5.69921875" style="21" customWidth="1"/>
    <col min="1298" max="1298" width="22" style="21" customWidth="1"/>
    <col min="1299" max="1531" width="9.09765625" style="21"/>
    <col min="1532" max="1532" width="6.69921875" style="21" customWidth="1"/>
    <col min="1533" max="1533" width="40.69921875" style="21" customWidth="1"/>
    <col min="1534" max="1553" width="5.69921875" style="21" customWidth="1"/>
    <col min="1554" max="1554" width="22" style="21" customWidth="1"/>
    <col min="1555" max="1787" width="9.09765625" style="21"/>
    <col min="1788" max="1788" width="6.69921875" style="21" customWidth="1"/>
    <col min="1789" max="1789" width="40.69921875" style="21" customWidth="1"/>
    <col min="1790" max="1809" width="5.69921875" style="21" customWidth="1"/>
    <col min="1810" max="1810" width="22" style="21" customWidth="1"/>
    <col min="1811" max="2043" width="9.09765625" style="21"/>
    <col min="2044" max="2044" width="6.69921875" style="21" customWidth="1"/>
    <col min="2045" max="2045" width="40.69921875" style="21" customWidth="1"/>
    <col min="2046" max="2065" width="5.69921875" style="21" customWidth="1"/>
    <col min="2066" max="2066" width="22" style="21" customWidth="1"/>
    <col min="2067" max="2299" width="9.09765625" style="21"/>
    <col min="2300" max="2300" width="6.69921875" style="21" customWidth="1"/>
    <col min="2301" max="2301" width="40.69921875" style="21" customWidth="1"/>
    <col min="2302" max="2321" width="5.69921875" style="21" customWidth="1"/>
    <col min="2322" max="2322" width="22" style="21" customWidth="1"/>
    <col min="2323" max="2555" width="9.09765625" style="21"/>
    <col min="2556" max="2556" width="6.69921875" style="21" customWidth="1"/>
    <col min="2557" max="2557" width="40.69921875" style="21" customWidth="1"/>
    <col min="2558" max="2577" width="5.69921875" style="21" customWidth="1"/>
    <col min="2578" max="2578" width="22" style="21" customWidth="1"/>
    <col min="2579" max="2811" width="9.09765625" style="21"/>
    <col min="2812" max="2812" width="6.69921875" style="21" customWidth="1"/>
    <col min="2813" max="2813" width="40.69921875" style="21" customWidth="1"/>
    <col min="2814" max="2833" width="5.69921875" style="21" customWidth="1"/>
    <col min="2834" max="2834" width="22" style="21" customWidth="1"/>
    <col min="2835" max="3067" width="9.09765625" style="21"/>
    <col min="3068" max="3068" width="6.69921875" style="21" customWidth="1"/>
    <col min="3069" max="3069" width="40.69921875" style="21" customWidth="1"/>
    <col min="3070" max="3089" width="5.69921875" style="21" customWidth="1"/>
    <col min="3090" max="3090" width="22" style="21" customWidth="1"/>
    <col min="3091" max="3323" width="9.09765625" style="21"/>
    <col min="3324" max="3324" width="6.69921875" style="21" customWidth="1"/>
    <col min="3325" max="3325" width="40.69921875" style="21" customWidth="1"/>
    <col min="3326" max="3345" width="5.69921875" style="21" customWidth="1"/>
    <col min="3346" max="3346" width="22" style="21" customWidth="1"/>
    <col min="3347" max="3579" width="9.09765625" style="21"/>
    <col min="3580" max="3580" width="6.69921875" style="21" customWidth="1"/>
    <col min="3581" max="3581" width="40.69921875" style="21" customWidth="1"/>
    <col min="3582" max="3601" width="5.69921875" style="21" customWidth="1"/>
    <col min="3602" max="3602" width="22" style="21" customWidth="1"/>
    <col min="3603" max="3835" width="9.09765625" style="21"/>
    <col min="3836" max="3836" width="6.69921875" style="21" customWidth="1"/>
    <col min="3837" max="3837" width="40.69921875" style="21" customWidth="1"/>
    <col min="3838" max="3857" width="5.69921875" style="21" customWidth="1"/>
    <col min="3858" max="3858" width="22" style="21" customWidth="1"/>
    <col min="3859" max="4091" width="9.09765625" style="21"/>
    <col min="4092" max="4092" width="6.69921875" style="21" customWidth="1"/>
    <col min="4093" max="4093" width="40.69921875" style="21" customWidth="1"/>
    <col min="4094" max="4113" width="5.69921875" style="21" customWidth="1"/>
    <col min="4114" max="4114" width="22" style="21" customWidth="1"/>
    <col min="4115" max="4347" width="9.09765625" style="21"/>
    <col min="4348" max="4348" width="6.69921875" style="21" customWidth="1"/>
    <col min="4349" max="4349" width="40.69921875" style="21" customWidth="1"/>
    <col min="4350" max="4369" width="5.69921875" style="21" customWidth="1"/>
    <col min="4370" max="4370" width="22" style="21" customWidth="1"/>
    <col min="4371" max="4603" width="9.09765625" style="21"/>
    <col min="4604" max="4604" width="6.69921875" style="21" customWidth="1"/>
    <col min="4605" max="4605" width="40.69921875" style="21" customWidth="1"/>
    <col min="4606" max="4625" width="5.69921875" style="21" customWidth="1"/>
    <col min="4626" max="4626" width="22" style="21" customWidth="1"/>
    <col min="4627" max="4859" width="9.09765625" style="21"/>
    <col min="4860" max="4860" width="6.69921875" style="21" customWidth="1"/>
    <col min="4861" max="4861" width="40.69921875" style="21" customWidth="1"/>
    <col min="4862" max="4881" width="5.69921875" style="21" customWidth="1"/>
    <col min="4882" max="4882" width="22" style="21" customWidth="1"/>
    <col min="4883" max="5115" width="9.09765625" style="21"/>
    <col min="5116" max="5116" width="6.69921875" style="21" customWidth="1"/>
    <col min="5117" max="5117" width="40.69921875" style="21" customWidth="1"/>
    <col min="5118" max="5137" width="5.69921875" style="21" customWidth="1"/>
    <col min="5138" max="5138" width="22" style="21" customWidth="1"/>
    <col min="5139" max="5371" width="9.09765625" style="21"/>
    <col min="5372" max="5372" width="6.69921875" style="21" customWidth="1"/>
    <col min="5373" max="5373" width="40.69921875" style="21" customWidth="1"/>
    <col min="5374" max="5393" width="5.69921875" style="21" customWidth="1"/>
    <col min="5394" max="5394" width="22" style="21" customWidth="1"/>
    <col min="5395" max="5627" width="9.09765625" style="21"/>
    <col min="5628" max="5628" width="6.69921875" style="21" customWidth="1"/>
    <col min="5629" max="5629" width="40.69921875" style="21" customWidth="1"/>
    <col min="5630" max="5649" width="5.69921875" style="21" customWidth="1"/>
    <col min="5650" max="5650" width="22" style="21" customWidth="1"/>
    <col min="5651" max="5883" width="9.09765625" style="21"/>
    <col min="5884" max="5884" width="6.69921875" style="21" customWidth="1"/>
    <col min="5885" max="5885" width="40.69921875" style="21" customWidth="1"/>
    <col min="5886" max="5905" width="5.69921875" style="21" customWidth="1"/>
    <col min="5906" max="5906" width="22" style="21" customWidth="1"/>
    <col min="5907" max="6139" width="9.09765625" style="21"/>
    <col min="6140" max="6140" width="6.69921875" style="21" customWidth="1"/>
    <col min="6141" max="6141" width="40.69921875" style="21" customWidth="1"/>
    <col min="6142" max="6161" width="5.69921875" style="21" customWidth="1"/>
    <col min="6162" max="6162" width="22" style="21" customWidth="1"/>
    <col min="6163" max="6395" width="9.09765625" style="21"/>
    <col min="6396" max="6396" width="6.69921875" style="21" customWidth="1"/>
    <col min="6397" max="6397" width="40.69921875" style="21" customWidth="1"/>
    <col min="6398" max="6417" width="5.69921875" style="21" customWidth="1"/>
    <col min="6418" max="6418" width="22" style="21" customWidth="1"/>
    <col min="6419" max="6651" width="9.09765625" style="21"/>
    <col min="6652" max="6652" width="6.69921875" style="21" customWidth="1"/>
    <col min="6653" max="6653" width="40.69921875" style="21" customWidth="1"/>
    <col min="6654" max="6673" width="5.69921875" style="21" customWidth="1"/>
    <col min="6674" max="6674" width="22" style="21" customWidth="1"/>
    <col min="6675" max="6907" width="9.09765625" style="21"/>
    <col min="6908" max="6908" width="6.69921875" style="21" customWidth="1"/>
    <col min="6909" max="6909" width="40.69921875" style="21" customWidth="1"/>
    <col min="6910" max="6929" width="5.69921875" style="21" customWidth="1"/>
    <col min="6930" max="6930" width="22" style="21" customWidth="1"/>
    <col min="6931" max="7163" width="9.09765625" style="21"/>
    <col min="7164" max="7164" width="6.69921875" style="21" customWidth="1"/>
    <col min="7165" max="7165" width="40.69921875" style="21" customWidth="1"/>
    <col min="7166" max="7185" width="5.69921875" style="21" customWidth="1"/>
    <col min="7186" max="7186" width="22" style="21" customWidth="1"/>
    <col min="7187" max="7419" width="9.09765625" style="21"/>
    <col min="7420" max="7420" width="6.69921875" style="21" customWidth="1"/>
    <col min="7421" max="7421" width="40.69921875" style="21" customWidth="1"/>
    <col min="7422" max="7441" width="5.69921875" style="21" customWidth="1"/>
    <col min="7442" max="7442" width="22" style="21" customWidth="1"/>
    <col min="7443" max="7675" width="9.09765625" style="21"/>
    <col min="7676" max="7676" width="6.69921875" style="21" customWidth="1"/>
    <col min="7677" max="7677" width="40.69921875" style="21" customWidth="1"/>
    <col min="7678" max="7697" width="5.69921875" style="21" customWidth="1"/>
    <col min="7698" max="7698" width="22" style="21" customWidth="1"/>
    <col min="7699" max="7931" width="9.09765625" style="21"/>
    <col min="7932" max="7932" width="6.69921875" style="21" customWidth="1"/>
    <col min="7933" max="7933" width="40.69921875" style="21" customWidth="1"/>
    <col min="7934" max="7953" width="5.69921875" style="21" customWidth="1"/>
    <col min="7954" max="7954" width="22" style="21" customWidth="1"/>
    <col min="7955" max="8187" width="9.09765625" style="21"/>
    <col min="8188" max="8188" width="6.69921875" style="21" customWidth="1"/>
    <col min="8189" max="8189" width="40.69921875" style="21" customWidth="1"/>
    <col min="8190" max="8209" width="5.69921875" style="21" customWidth="1"/>
    <col min="8210" max="8210" width="22" style="21" customWidth="1"/>
    <col min="8211" max="8443" width="9.09765625" style="21"/>
    <col min="8444" max="8444" width="6.69921875" style="21" customWidth="1"/>
    <col min="8445" max="8445" width="40.69921875" style="21" customWidth="1"/>
    <col min="8446" max="8465" width="5.69921875" style="21" customWidth="1"/>
    <col min="8466" max="8466" width="22" style="21" customWidth="1"/>
    <col min="8467" max="8699" width="9.09765625" style="21"/>
    <col min="8700" max="8700" width="6.69921875" style="21" customWidth="1"/>
    <col min="8701" max="8701" width="40.69921875" style="21" customWidth="1"/>
    <col min="8702" max="8721" width="5.69921875" style="21" customWidth="1"/>
    <col min="8722" max="8722" width="22" style="21" customWidth="1"/>
    <col min="8723" max="8955" width="9.09765625" style="21"/>
    <col min="8956" max="8956" width="6.69921875" style="21" customWidth="1"/>
    <col min="8957" max="8957" width="40.69921875" style="21" customWidth="1"/>
    <col min="8958" max="8977" width="5.69921875" style="21" customWidth="1"/>
    <col min="8978" max="8978" width="22" style="21" customWidth="1"/>
    <col min="8979" max="9211" width="9.09765625" style="21"/>
    <col min="9212" max="9212" width="6.69921875" style="21" customWidth="1"/>
    <col min="9213" max="9213" width="40.69921875" style="21" customWidth="1"/>
    <col min="9214" max="9233" width="5.69921875" style="21" customWidth="1"/>
    <col min="9234" max="9234" width="22" style="21" customWidth="1"/>
    <col min="9235" max="9467" width="9.09765625" style="21"/>
    <col min="9468" max="9468" width="6.69921875" style="21" customWidth="1"/>
    <col min="9469" max="9469" width="40.69921875" style="21" customWidth="1"/>
    <col min="9470" max="9489" width="5.69921875" style="21" customWidth="1"/>
    <col min="9490" max="9490" width="22" style="21" customWidth="1"/>
    <col min="9491" max="9723" width="9.09765625" style="21"/>
    <col min="9724" max="9724" width="6.69921875" style="21" customWidth="1"/>
    <col min="9725" max="9725" width="40.69921875" style="21" customWidth="1"/>
    <col min="9726" max="9745" width="5.69921875" style="21" customWidth="1"/>
    <col min="9746" max="9746" width="22" style="21" customWidth="1"/>
    <col min="9747" max="9979" width="9.09765625" style="21"/>
    <col min="9980" max="9980" width="6.69921875" style="21" customWidth="1"/>
    <col min="9981" max="9981" width="40.69921875" style="21" customWidth="1"/>
    <col min="9982" max="10001" width="5.69921875" style="21" customWidth="1"/>
    <col min="10002" max="10002" width="22" style="21" customWidth="1"/>
    <col min="10003" max="10235" width="9.09765625" style="21"/>
    <col min="10236" max="10236" width="6.69921875" style="21" customWidth="1"/>
    <col min="10237" max="10237" width="40.69921875" style="21" customWidth="1"/>
    <col min="10238" max="10257" width="5.69921875" style="21" customWidth="1"/>
    <col min="10258" max="10258" width="22" style="21" customWidth="1"/>
    <col min="10259" max="10491" width="9.09765625" style="21"/>
    <col min="10492" max="10492" width="6.69921875" style="21" customWidth="1"/>
    <col min="10493" max="10493" width="40.69921875" style="21" customWidth="1"/>
    <col min="10494" max="10513" width="5.69921875" style="21" customWidth="1"/>
    <col min="10514" max="10514" width="22" style="21" customWidth="1"/>
    <col min="10515" max="10747" width="9.09765625" style="21"/>
    <col min="10748" max="10748" width="6.69921875" style="21" customWidth="1"/>
    <col min="10749" max="10749" width="40.69921875" style="21" customWidth="1"/>
    <col min="10750" max="10769" width="5.69921875" style="21" customWidth="1"/>
    <col min="10770" max="10770" width="22" style="21" customWidth="1"/>
    <col min="10771" max="11003" width="9.09765625" style="21"/>
    <col min="11004" max="11004" width="6.69921875" style="21" customWidth="1"/>
    <col min="11005" max="11005" width="40.69921875" style="21" customWidth="1"/>
    <col min="11006" max="11025" width="5.69921875" style="21" customWidth="1"/>
    <col min="11026" max="11026" width="22" style="21" customWidth="1"/>
    <col min="11027" max="11259" width="9.09765625" style="21"/>
    <col min="11260" max="11260" width="6.69921875" style="21" customWidth="1"/>
    <col min="11261" max="11261" width="40.69921875" style="21" customWidth="1"/>
    <col min="11262" max="11281" width="5.69921875" style="21" customWidth="1"/>
    <col min="11282" max="11282" width="22" style="21" customWidth="1"/>
    <col min="11283" max="11515" width="9.09765625" style="21"/>
    <col min="11516" max="11516" width="6.69921875" style="21" customWidth="1"/>
    <col min="11517" max="11517" width="40.69921875" style="21" customWidth="1"/>
    <col min="11518" max="11537" width="5.69921875" style="21" customWidth="1"/>
    <col min="11538" max="11538" width="22" style="21" customWidth="1"/>
    <col min="11539" max="11771" width="9.09765625" style="21"/>
    <col min="11772" max="11772" width="6.69921875" style="21" customWidth="1"/>
    <col min="11773" max="11773" width="40.69921875" style="21" customWidth="1"/>
    <col min="11774" max="11793" width="5.69921875" style="21" customWidth="1"/>
    <col min="11794" max="11794" width="22" style="21" customWidth="1"/>
    <col min="11795" max="12027" width="9.09765625" style="21"/>
    <col min="12028" max="12028" width="6.69921875" style="21" customWidth="1"/>
    <col min="12029" max="12029" width="40.69921875" style="21" customWidth="1"/>
    <col min="12030" max="12049" width="5.69921875" style="21" customWidth="1"/>
    <col min="12050" max="12050" width="22" style="21" customWidth="1"/>
    <col min="12051" max="12283" width="9.09765625" style="21"/>
    <col min="12284" max="12284" width="6.69921875" style="21" customWidth="1"/>
    <col min="12285" max="12285" width="40.69921875" style="21" customWidth="1"/>
    <col min="12286" max="12305" width="5.69921875" style="21" customWidth="1"/>
    <col min="12306" max="12306" width="22" style="21" customWidth="1"/>
    <col min="12307" max="12539" width="9.09765625" style="21"/>
    <col min="12540" max="12540" width="6.69921875" style="21" customWidth="1"/>
    <col min="12541" max="12541" width="40.69921875" style="21" customWidth="1"/>
    <col min="12542" max="12561" width="5.69921875" style="21" customWidth="1"/>
    <col min="12562" max="12562" width="22" style="21" customWidth="1"/>
    <col min="12563" max="12795" width="9.09765625" style="21"/>
    <col min="12796" max="12796" width="6.69921875" style="21" customWidth="1"/>
    <col min="12797" max="12797" width="40.69921875" style="21" customWidth="1"/>
    <col min="12798" max="12817" width="5.69921875" style="21" customWidth="1"/>
    <col min="12818" max="12818" width="22" style="21" customWidth="1"/>
    <col min="12819" max="13051" width="9.09765625" style="21"/>
    <col min="13052" max="13052" width="6.69921875" style="21" customWidth="1"/>
    <col min="13053" max="13053" width="40.69921875" style="21" customWidth="1"/>
    <col min="13054" max="13073" width="5.69921875" style="21" customWidth="1"/>
    <col min="13074" max="13074" width="22" style="21" customWidth="1"/>
    <col min="13075" max="13307" width="9.09765625" style="21"/>
    <col min="13308" max="13308" width="6.69921875" style="21" customWidth="1"/>
    <col min="13309" max="13309" width="40.69921875" style="21" customWidth="1"/>
    <col min="13310" max="13329" width="5.69921875" style="21" customWidth="1"/>
    <col min="13330" max="13330" width="22" style="21" customWidth="1"/>
    <col min="13331" max="13563" width="9.09765625" style="21"/>
    <col min="13564" max="13564" width="6.69921875" style="21" customWidth="1"/>
    <col min="13565" max="13565" width="40.69921875" style="21" customWidth="1"/>
    <col min="13566" max="13585" width="5.69921875" style="21" customWidth="1"/>
    <col min="13586" max="13586" width="22" style="21" customWidth="1"/>
    <col min="13587" max="13819" width="9.09765625" style="21"/>
    <col min="13820" max="13820" width="6.69921875" style="21" customWidth="1"/>
    <col min="13821" max="13821" width="40.69921875" style="21" customWidth="1"/>
    <col min="13822" max="13841" width="5.69921875" style="21" customWidth="1"/>
    <col min="13842" max="13842" width="22" style="21" customWidth="1"/>
    <col min="13843" max="14075" width="9.09765625" style="21"/>
    <col min="14076" max="14076" width="6.69921875" style="21" customWidth="1"/>
    <col min="14077" max="14077" width="40.69921875" style="21" customWidth="1"/>
    <col min="14078" max="14097" width="5.69921875" style="21" customWidth="1"/>
    <col min="14098" max="14098" width="22" style="21" customWidth="1"/>
    <col min="14099" max="14331" width="9.09765625" style="21"/>
    <col min="14332" max="14332" width="6.69921875" style="21" customWidth="1"/>
    <col min="14333" max="14333" width="40.69921875" style="21" customWidth="1"/>
    <col min="14334" max="14353" width="5.69921875" style="21" customWidth="1"/>
    <col min="14354" max="14354" width="22" style="21" customWidth="1"/>
    <col min="14355" max="14587" width="9.09765625" style="21"/>
    <col min="14588" max="14588" width="6.69921875" style="21" customWidth="1"/>
    <col min="14589" max="14589" width="40.69921875" style="21" customWidth="1"/>
    <col min="14590" max="14609" width="5.69921875" style="21" customWidth="1"/>
    <col min="14610" max="14610" width="22" style="21" customWidth="1"/>
    <col min="14611" max="14843" width="9.09765625" style="21"/>
    <col min="14844" max="14844" width="6.69921875" style="21" customWidth="1"/>
    <col min="14845" max="14845" width="40.69921875" style="21" customWidth="1"/>
    <col min="14846" max="14865" width="5.69921875" style="21" customWidth="1"/>
    <col min="14866" max="14866" width="22" style="21" customWidth="1"/>
    <col min="14867" max="15099" width="9.09765625" style="21"/>
    <col min="15100" max="15100" width="6.69921875" style="21" customWidth="1"/>
    <col min="15101" max="15101" width="40.69921875" style="21" customWidth="1"/>
    <col min="15102" max="15121" width="5.69921875" style="21" customWidth="1"/>
    <col min="15122" max="15122" width="22" style="21" customWidth="1"/>
    <col min="15123" max="15355" width="9.09765625" style="21"/>
    <col min="15356" max="15356" width="6.69921875" style="21" customWidth="1"/>
    <col min="15357" max="15357" width="40.69921875" style="21" customWidth="1"/>
    <col min="15358" max="15377" width="5.69921875" style="21" customWidth="1"/>
    <col min="15378" max="15378" width="22" style="21" customWidth="1"/>
    <col min="15379" max="15611" width="9.09765625" style="21"/>
    <col min="15612" max="15612" width="6.69921875" style="21" customWidth="1"/>
    <col min="15613" max="15613" width="40.69921875" style="21" customWidth="1"/>
    <col min="15614" max="15633" width="5.69921875" style="21" customWidth="1"/>
    <col min="15634" max="15634" width="22" style="21" customWidth="1"/>
    <col min="15635" max="15867" width="9.09765625" style="21"/>
    <col min="15868" max="15868" width="6.69921875" style="21" customWidth="1"/>
    <col min="15869" max="15869" width="40.69921875" style="21" customWidth="1"/>
    <col min="15870" max="15889" width="5.69921875" style="21" customWidth="1"/>
    <col min="15890" max="15890" width="22" style="21" customWidth="1"/>
    <col min="15891" max="16123" width="9.09765625" style="21"/>
    <col min="16124" max="16124" width="6.69921875" style="21" customWidth="1"/>
    <col min="16125" max="16125" width="40.69921875" style="21" customWidth="1"/>
    <col min="16126" max="16145" width="5.69921875" style="21" customWidth="1"/>
    <col min="16146" max="16146" width="22" style="21" customWidth="1"/>
    <col min="16147" max="16384" width="9.09765625" style="21"/>
  </cols>
  <sheetData>
    <row r="1" spans="1:21" ht="21" customHeight="1" x14ac:dyDescent="0.25">
      <c r="A1" s="233" t="s">
        <v>34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</row>
    <row r="2" spans="1:21" ht="24.9" customHeight="1" x14ac:dyDescent="0.25">
      <c r="A2" s="234" t="s">
        <v>35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</row>
    <row r="3" spans="1:21" ht="24.9" customHeight="1" x14ac:dyDescent="0.25">
      <c r="A3" s="234" t="s">
        <v>323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</row>
    <row r="4" spans="1:21" ht="24.9" customHeight="1" x14ac:dyDescent="0.25">
      <c r="A4" s="22" t="s">
        <v>34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4"/>
    </row>
    <row r="5" spans="1:21" ht="32.1" customHeight="1" x14ac:dyDescent="0.25">
      <c r="A5" s="235" t="s">
        <v>36</v>
      </c>
      <c r="B5" s="235" t="s">
        <v>37</v>
      </c>
      <c r="C5" s="237" t="s">
        <v>38</v>
      </c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  <c r="Q5" s="238"/>
      <c r="R5" s="238"/>
      <c r="S5" s="25" t="s">
        <v>39</v>
      </c>
    </row>
    <row r="6" spans="1:21" ht="32.1" customHeight="1" x14ac:dyDescent="0.25">
      <c r="A6" s="236"/>
      <c r="B6" s="236"/>
      <c r="C6" s="27" t="s">
        <v>40</v>
      </c>
      <c r="D6" s="28" t="s">
        <v>41</v>
      </c>
      <c r="E6" s="28" t="s">
        <v>42</v>
      </c>
      <c r="F6" s="28" t="s">
        <v>43</v>
      </c>
      <c r="G6" s="28" t="s">
        <v>44</v>
      </c>
      <c r="H6" s="28" t="s">
        <v>45</v>
      </c>
      <c r="I6" s="28" t="s">
        <v>46</v>
      </c>
      <c r="J6" s="28" t="s">
        <v>47</v>
      </c>
      <c r="K6" s="28" t="s">
        <v>48</v>
      </c>
      <c r="L6" s="28" t="s">
        <v>49</v>
      </c>
      <c r="M6" s="28" t="s">
        <v>50</v>
      </c>
      <c r="N6" s="28" t="s">
        <v>51</v>
      </c>
      <c r="O6" s="29" t="s">
        <v>52</v>
      </c>
      <c r="P6" s="30" t="s">
        <v>53</v>
      </c>
      <c r="Q6" s="28" t="s">
        <v>54</v>
      </c>
      <c r="R6" s="31" t="s">
        <v>55</v>
      </c>
      <c r="S6" s="26"/>
    </row>
    <row r="7" spans="1:21" ht="24.9" customHeight="1" x14ac:dyDescent="0.25">
      <c r="A7" s="32"/>
      <c r="B7" s="33" t="s">
        <v>56</v>
      </c>
      <c r="C7" s="34"/>
      <c r="D7" s="34"/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6"/>
      <c r="T7" s="19"/>
      <c r="U7" s="37"/>
    </row>
    <row r="8" spans="1:21" ht="24.9" customHeight="1" x14ac:dyDescent="0.25">
      <c r="A8" s="32"/>
      <c r="B8" s="33" t="s">
        <v>57</v>
      </c>
      <c r="C8" s="34"/>
      <c r="D8" s="34"/>
      <c r="E8" s="34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6"/>
      <c r="T8" s="19"/>
      <c r="U8" s="37"/>
    </row>
    <row r="9" spans="1:21" ht="24.9" customHeight="1" x14ac:dyDescent="0.25">
      <c r="A9" s="32"/>
      <c r="B9" s="38" t="s">
        <v>58</v>
      </c>
      <c r="C9" s="32"/>
      <c r="D9" s="32"/>
      <c r="E9" s="32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6"/>
      <c r="T9" s="19"/>
      <c r="U9" s="37"/>
    </row>
    <row r="10" spans="1:21" ht="24.9" customHeight="1" x14ac:dyDescent="0.25">
      <c r="A10" s="32"/>
      <c r="B10" s="33" t="s">
        <v>59</v>
      </c>
      <c r="C10" s="34"/>
      <c r="D10" s="34"/>
      <c r="E10" s="34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6"/>
      <c r="T10" s="19"/>
      <c r="U10" s="37"/>
    </row>
    <row r="11" spans="1:21" ht="24.9" customHeight="1" x14ac:dyDescent="0.25">
      <c r="A11" s="32"/>
      <c r="B11" s="38" t="s">
        <v>58</v>
      </c>
      <c r="C11" s="32"/>
      <c r="D11" s="32"/>
      <c r="E11" s="32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6"/>
      <c r="T11" s="19"/>
      <c r="U11" s="37"/>
    </row>
    <row r="12" spans="1:21" ht="24.9" customHeight="1" x14ac:dyDescent="0.25">
      <c r="A12" s="32"/>
      <c r="B12" s="33" t="s">
        <v>60</v>
      </c>
      <c r="C12" s="34"/>
      <c r="D12" s="34"/>
      <c r="E12" s="34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6"/>
      <c r="T12" s="19"/>
      <c r="U12" s="37"/>
    </row>
    <row r="13" spans="1:21" ht="24.9" customHeight="1" x14ac:dyDescent="0.25">
      <c r="A13" s="32"/>
      <c r="B13" s="38" t="s">
        <v>61</v>
      </c>
      <c r="C13" s="32"/>
      <c r="D13" s="32"/>
      <c r="E13" s="32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9"/>
      <c r="U13" s="37"/>
    </row>
    <row r="14" spans="1:21" ht="24.9" customHeight="1" x14ac:dyDescent="0.25">
      <c r="A14" s="40"/>
      <c r="B14" s="38" t="s">
        <v>62</v>
      </c>
      <c r="C14" s="41"/>
      <c r="D14" s="41"/>
      <c r="E14" s="41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3"/>
      <c r="T14" s="19"/>
      <c r="U14" s="37"/>
    </row>
    <row r="15" spans="1:21" ht="24.9" customHeight="1" x14ac:dyDescent="0.25">
      <c r="A15" s="40"/>
      <c r="B15" s="33" t="s">
        <v>63</v>
      </c>
      <c r="C15" s="41"/>
      <c r="D15" s="41"/>
      <c r="E15" s="41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3"/>
      <c r="T15" s="19"/>
      <c r="U15" s="37"/>
    </row>
    <row r="16" spans="1:21" ht="24.9" customHeight="1" x14ac:dyDescent="0.25">
      <c r="A16" s="44"/>
      <c r="B16" s="38" t="s">
        <v>64</v>
      </c>
      <c r="C16" s="45"/>
      <c r="D16" s="45"/>
      <c r="E16" s="45"/>
      <c r="F16" s="46"/>
      <c r="G16" s="46"/>
      <c r="H16" s="46"/>
      <c r="I16" s="46"/>
      <c r="J16" s="35"/>
      <c r="K16" s="46"/>
      <c r="L16" s="46"/>
      <c r="M16" s="46"/>
      <c r="N16" s="46"/>
      <c r="O16" s="46"/>
      <c r="P16" s="46"/>
      <c r="Q16" s="46"/>
      <c r="R16" s="46"/>
      <c r="S16" s="47"/>
      <c r="T16" s="19"/>
      <c r="U16" s="37"/>
    </row>
    <row r="17" spans="1:21" ht="24.9" customHeight="1" x14ac:dyDescent="0.25">
      <c r="A17" s="44"/>
      <c r="B17" s="38" t="s">
        <v>65</v>
      </c>
      <c r="C17" s="44"/>
      <c r="D17" s="44"/>
      <c r="E17" s="44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7"/>
      <c r="T17" s="19"/>
      <c r="U17" s="37"/>
    </row>
    <row r="18" spans="1:21" ht="24.9" customHeight="1" x14ac:dyDescent="0.25">
      <c r="A18" s="44"/>
      <c r="B18" s="33" t="s">
        <v>66</v>
      </c>
      <c r="C18" s="44"/>
      <c r="D18" s="44"/>
      <c r="E18" s="44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7"/>
      <c r="T18" s="19"/>
      <c r="U18" s="37"/>
    </row>
    <row r="19" spans="1:21" ht="24.9" customHeight="1" x14ac:dyDescent="0.25">
      <c r="A19" s="44"/>
      <c r="B19" s="38" t="s">
        <v>67</v>
      </c>
      <c r="C19" s="44"/>
      <c r="D19" s="44"/>
      <c r="E19" s="44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7"/>
      <c r="T19" s="19"/>
      <c r="U19" s="37"/>
    </row>
    <row r="20" spans="1:21" ht="24.9" customHeight="1" x14ac:dyDescent="0.25">
      <c r="A20" s="48" t="s">
        <v>34</v>
      </c>
      <c r="B20" s="49" t="s">
        <v>34</v>
      </c>
      <c r="C20" s="49"/>
      <c r="D20" s="49"/>
      <c r="E20" s="49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1"/>
      <c r="T20" s="19"/>
      <c r="U20" s="37"/>
    </row>
    <row r="21" spans="1:21" ht="24.9" customHeight="1" x14ac:dyDescent="0.25">
      <c r="A21" s="52"/>
      <c r="B21" s="53" t="s">
        <v>68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</row>
    <row r="22" spans="1:21" ht="24.9" customHeight="1" x14ac:dyDescent="0.25">
      <c r="A22" s="55"/>
      <c r="B22" s="56" t="s">
        <v>69</v>
      </c>
      <c r="C22" s="40"/>
      <c r="D22" s="40"/>
      <c r="E22" s="40"/>
      <c r="F22" s="40"/>
      <c r="G22" s="40"/>
      <c r="H22" s="40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</row>
    <row r="23" spans="1:21" ht="24.9" customHeight="1" x14ac:dyDescent="0.25">
      <c r="A23" s="55" t="s">
        <v>70</v>
      </c>
      <c r="B23" s="57" t="s">
        <v>71</v>
      </c>
      <c r="C23" s="56"/>
      <c r="D23" s="56"/>
      <c r="E23" s="56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</row>
    <row r="24" spans="1:21" ht="24.9" customHeight="1" x14ac:dyDescent="0.25">
      <c r="A24" s="103">
        <v>1</v>
      </c>
      <c r="B24" s="104" t="s">
        <v>72</v>
      </c>
      <c r="C24" s="58">
        <v>2</v>
      </c>
      <c r="D24" s="58">
        <v>2</v>
      </c>
      <c r="E24" s="58">
        <v>2</v>
      </c>
      <c r="F24" s="58">
        <v>2</v>
      </c>
      <c r="G24" s="58">
        <v>2</v>
      </c>
      <c r="H24" s="58">
        <v>2</v>
      </c>
      <c r="I24" s="58">
        <v>2</v>
      </c>
      <c r="J24" s="58">
        <v>2</v>
      </c>
      <c r="K24" s="58">
        <v>2</v>
      </c>
      <c r="L24" s="58">
        <v>2</v>
      </c>
      <c r="M24" s="58">
        <v>2</v>
      </c>
      <c r="N24" s="58">
        <v>2</v>
      </c>
      <c r="O24" s="58">
        <v>2</v>
      </c>
      <c r="P24" s="58">
        <v>2</v>
      </c>
      <c r="Q24" s="58">
        <v>2</v>
      </c>
      <c r="R24" s="58">
        <v>2</v>
      </c>
      <c r="S24" s="58" t="s">
        <v>73</v>
      </c>
      <c r="T24" s="37">
        <f>SUM(C24:R24)</f>
        <v>32</v>
      </c>
    </row>
    <row r="25" spans="1:21" ht="24.9" customHeight="1" x14ac:dyDescent="0.25">
      <c r="A25" s="55">
        <v>2</v>
      </c>
      <c r="B25" s="92" t="s">
        <v>74</v>
      </c>
      <c r="C25" s="40">
        <v>1</v>
      </c>
      <c r="D25" s="40">
        <v>1</v>
      </c>
      <c r="E25" s="40">
        <v>1</v>
      </c>
      <c r="F25" s="40">
        <v>1</v>
      </c>
      <c r="G25" s="40">
        <v>1</v>
      </c>
      <c r="H25" s="40">
        <v>1</v>
      </c>
      <c r="I25" s="40">
        <v>1</v>
      </c>
      <c r="J25" s="40">
        <v>1</v>
      </c>
      <c r="K25" s="40">
        <v>1</v>
      </c>
      <c r="L25" s="40">
        <v>1</v>
      </c>
      <c r="M25" s="40">
        <v>1</v>
      </c>
      <c r="N25" s="40">
        <v>1</v>
      </c>
      <c r="O25" s="40">
        <v>1</v>
      </c>
      <c r="P25" s="40">
        <v>1</v>
      </c>
      <c r="Q25" s="40">
        <v>1</v>
      </c>
      <c r="R25" s="40">
        <v>1</v>
      </c>
      <c r="S25" s="40" t="s">
        <v>75</v>
      </c>
      <c r="T25" s="37">
        <f t="shared" ref="T25:T59" si="0">SUM(C25:R25)</f>
        <v>16</v>
      </c>
    </row>
    <row r="26" spans="1:21" ht="24.9" customHeight="1" x14ac:dyDescent="0.25">
      <c r="A26" s="55">
        <v>3</v>
      </c>
      <c r="B26" s="92" t="s">
        <v>76</v>
      </c>
      <c r="C26" s="40">
        <v>4</v>
      </c>
      <c r="D26" s="40">
        <v>4</v>
      </c>
      <c r="E26" s="40">
        <v>4</v>
      </c>
      <c r="F26" s="40">
        <v>4</v>
      </c>
      <c r="G26" s="40">
        <v>4</v>
      </c>
      <c r="H26" s="40">
        <v>4</v>
      </c>
      <c r="I26" s="40">
        <v>4</v>
      </c>
      <c r="J26" s="40">
        <v>4</v>
      </c>
      <c r="K26" s="40">
        <v>4</v>
      </c>
      <c r="L26" s="40">
        <v>4</v>
      </c>
      <c r="M26" s="40">
        <v>4</v>
      </c>
      <c r="N26" s="40"/>
      <c r="O26" s="40"/>
      <c r="P26" s="40"/>
      <c r="Q26" s="40"/>
      <c r="R26" s="40"/>
      <c r="S26" s="40" t="s">
        <v>77</v>
      </c>
      <c r="T26" s="37">
        <f t="shared" si="0"/>
        <v>44</v>
      </c>
    </row>
    <row r="27" spans="1:21" ht="24.9" customHeight="1" x14ac:dyDescent="0.25">
      <c r="A27" s="55">
        <v>4</v>
      </c>
      <c r="B27" s="92" t="s">
        <v>78</v>
      </c>
      <c r="C27" s="40">
        <v>4</v>
      </c>
      <c r="D27" s="40">
        <v>4</v>
      </c>
      <c r="E27" s="40">
        <v>4</v>
      </c>
      <c r="F27" s="40">
        <v>4</v>
      </c>
      <c r="G27" s="40">
        <v>4</v>
      </c>
      <c r="H27" s="40">
        <v>4</v>
      </c>
      <c r="I27" s="40">
        <v>4</v>
      </c>
      <c r="J27" s="40">
        <v>4</v>
      </c>
      <c r="K27" s="40">
        <v>4</v>
      </c>
      <c r="L27" s="40">
        <v>4</v>
      </c>
      <c r="M27" s="40">
        <v>4</v>
      </c>
      <c r="N27" s="40"/>
      <c r="O27" s="40"/>
      <c r="P27" s="40"/>
      <c r="Q27" s="40"/>
      <c r="R27" s="40"/>
      <c r="S27" s="40" t="s">
        <v>77</v>
      </c>
      <c r="T27" s="37">
        <f t="shared" si="0"/>
        <v>44</v>
      </c>
    </row>
    <row r="28" spans="1:21" ht="24.9" customHeight="1" x14ac:dyDescent="0.25">
      <c r="A28" s="55">
        <v>5</v>
      </c>
      <c r="B28" s="92" t="s">
        <v>79</v>
      </c>
      <c r="C28" s="40"/>
      <c r="D28" s="40"/>
      <c r="E28" s="40"/>
      <c r="F28" s="40"/>
      <c r="G28" s="40"/>
      <c r="H28" s="40"/>
      <c r="I28" s="40"/>
      <c r="J28" s="40"/>
      <c r="K28" s="40"/>
      <c r="L28" s="40">
        <v>4</v>
      </c>
      <c r="M28" s="40">
        <v>4</v>
      </c>
      <c r="N28" s="40">
        <v>4</v>
      </c>
      <c r="O28" s="40">
        <v>4</v>
      </c>
      <c r="P28" s="40">
        <v>4</v>
      </c>
      <c r="Q28" s="40">
        <v>4</v>
      </c>
      <c r="R28" s="40">
        <v>4</v>
      </c>
      <c r="S28" s="40" t="s">
        <v>80</v>
      </c>
      <c r="T28" s="37">
        <f t="shared" si="0"/>
        <v>28</v>
      </c>
    </row>
    <row r="29" spans="1:21" ht="24.9" customHeight="1" x14ac:dyDescent="0.25">
      <c r="A29" s="55">
        <v>6</v>
      </c>
      <c r="B29" s="92" t="s">
        <v>81</v>
      </c>
      <c r="C29" s="40">
        <v>6</v>
      </c>
      <c r="D29" s="40">
        <v>15</v>
      </c>
      <c r="E29" s="40">
        <v>15</v>
      </c>
      <c r="F29" s="40">
        <v>15</v>
      </c>
      <c r="G29" s="40">
        <v>15</v>
      </c>
      <c r="H29" s="40">
        <v>15</v>
      </c>
      <c r="I29" s="40">
        <v>15</v>
      </c>
      <c r="J29" s="40">
        <v>15</v>
      </c>
      <c r="K29" s="40">
        <v>15</v>
      </c>
      <c r="L29" s="40">
        <v>15</v>
      </c>
      <c r="M29" s="40">
        <v>15</v>
      </c>
      <c r="N29" s="40">
        <v>15</v>
      </c>
      <c r="O29" s="40">
        <v>15</v>
      </c>
      <c r="P29" s="40"/>
      <c r="Q29" s="40"/>
      <c r="R29" s="40"/>
      <c r="S29" s="40" t="s">
        <v>82</v>
      </c>
      <c r="T29" s="37">
        <f>SUM(C29:R29)</f>
        <v>186</v>
      </c>
    </row>
    <row r="30" spans="1:21" ht="24.9" customHeight="1" x14ac:dyDescent="0.25">
      <c r="A30" s="55">
        <v>7</v>
      </c>
      <c r="B30" s="92" t="s">
        <v>83</v>
      </c>
      <c r="C30" s="40">
        <v>2</v>
      </c>
      <c r="D30" s="40">
        <v>2</v>
      </c>
      <c r="E30" s="40">
        <v>2</v>
      </c>
      <c r="F30" s="40">
        <v>2</v>
      </c>
      <c r="G30" s="40">
        <v>2</v>
      </c>
      <c r="H30" s="40">
        <v>2</v>
      </c>
      <c r="I30" s="40">
        <v>2</v>
      </c>
      <c r="J30" s="40">
        <v>2</v>
      </c>
      <c r="K30" s="40">
        <v>2</v>
      </c>
      <c r="L30" s="40">
        <v>2</v>
      </c>
      <c r="M30" s="40">
        <v>2</v>
      </c>
      <c r="N30" s="40">
        <v>2</v>
      </c>
      <c r="O30" s="40">
        <v>2</v>
      </c>
      <c r="P30" s="40">
        <v>2</v>
      </c>
      <c r="Q30" s="40">
        <v>2</v>
      </c>
      <c r="R30" s="40">
        <v>2</v>
      </c>
      <c r="S30" s="40" t="s">
        <v>84</v>
      </c>
      <c r="T30" s="37">
        <f t="shared" si="0"/>
        <v>32</v>
      </c>
    </row>
    <row r="31" spans="1:21" ht="24.9" customHeight="1" x14ac:dyDescent="0.25">
      <c r="A31" s="55">
        <v>8</v>
      </c>
      <c r="B31" s="92" t="s">
        <v>85</v>
      </c>
      <c r="C31" s="40">
        <v>1</v>
      </c>
      <c r="D31" s="40">
        <v>1</v>
      </c>
      <c r="E31" s="40">
        <v>1</v>
      </c>
      <c r="F31" s="40">
        <v>1</v>
      </c>
      <c r="G31" s="40">
        <v>1</v>
      </c>
      <c r="H31" s="40">
        <v>1</v>
      </c>
      <c r="I31" s="40">
        <v>1</v>
      </c>
      <c r="J31" s="40">
        <v>1</v>
      </c>
      <c r="K31" s="40">
        <v>1</v>
      </c>
      <c r="L31" s="40">
        <v>1</v>
      </c>
      <c r="M31" s="40">
        <v>1</v>
      </c>
      <c r="N31" s="40">
        <v>1</v>
      </c>
      <c r="O31" s="40">
        <v>1</v>
      </c>
      <c r="P31" s="40">
        <v>1</v>
      </c>
      <c r="Q31" s="40">
        <v>1</v>
      </c>
      <c r="R31" s="40">
        <v>1</v>
      </c>
      <c r="S31" s="40" t="s">
        <v>86</v>
      </c>
      <c r="T31" s="37">
        <f t="shared" si="0"/>
        <v>16</v>
      </c>
    </row>
    <row r="32" spans="1:21" ht="24.9" customHeight="1" x14ac:dyDescent="0.25">
      <c r="A32" s="55">
        <v>9</v>
      </c>
      <c r="B32" s="92" t="s">
        <v>87</v>
      </c>
      <c r="C32" s="40">
        <v>2</v>
      </c>
      <c r="D32" s="40">
        <v>2</v>
      </c>
      <c r="E32" s="40">
        <v>2</v>
      </c>
      <c r="F32" s="40">
        <v>2</v>
      </c>
      <c r="G32" s="40">
        <v>2</v>
      </c>
      <c r="H32" s="40">
        <v>2</v>
      </c>
      <c r="I32" s="40">
        <v>2</v>
      </c>
      <c r="J32" s="40">
        <v>2</v>
      </c>
      <c r="K32" s="40">
        <v>2</v>
      </c>
      <c r="L32" s="40">
        <v>2</v>
      </c>
      <c r="M32" s="40">
        <v>2</v>
      </c>
      <c r="N32" s="40">
        <v>2</v>
      </c>
      <c r="O32" s="40">
        <v>2</v>
      </c>
      <c r="P32" s="40">
        <v>2</v>
      </c>
      <c r="Q32" s="40">
        <v>2</v>
      </c>
      <c r="R32" s="40">
        <v>2</v>
      </c>
      <c r="S32" s="40" t="s">
        <v>88</v>
      </c>
      <c r="T32" s="37">
        <f t="shared" si="0"/>
        <v>32</v>
      </c>
    </row>
    <row r="33" spans="1:20" ht="24.9" customHeight="1" x14ac:dyDescent="0.25">
      <c r="A33" s="59"/>
      <c r="B33" s="91" t="s">
        <v>148</v>
      </c>
      <c r="C33" s="60">
        <f>SUM(C25:C32)</f>
        <v>20</v>
      </c>
      <c r="D33" s="60">
        <f t="shared" ref="D33:R33" si="1">SUM(D25:D32)</f>
        <v>29</v>
      </c>
      <c r="E33" s="60">
        <f t="shared" si="1"/>
        <v>29</v>
      </c>
      <c r="F33" s="60">
        <f t="shared" si="1"/>
        <v>29</v>
      </c>
      <c r="G33" s="60">
        <f t="shared" si="1"/>
        <v>29</v>
      </c>
      <c r="H33" s="60">
        <f t="shared" si="1"/>
        <v>29</v>
      </c>
      <c r="I33" s="60">
        <f t="shared" si="1"/>
        <v>29</v>
      </c>
      <c r="J33" s="60">
        <f t="shared" si="1"/>
        <v>29</v>
      </c>
      <c r="K33" s="60">
        <f t="shared" si="1"/>
        <v>29</v>
      </c>
      <c r="L33" s="60">
        <f t="shared" si="1"/>
        <v>33</v>
      </c>
      <c r="M33" s="60">
        <f t="shared" si="1"/>
        <v>33</v>
      </c>
      <c r="N33" s="60">
        <f t="shared" si="1"/>
        <v>25</v>
      </c>
      <c r="O33" s="60">
        <f t="shared" si="1"/>
        <v>25</v>
      </c>
      <c r="P33" s="60">
        <f t="shared" si="1"/>
        <v>10</v>
      </c>
      <c r="Q33" s="60">
        <f t="shared" si="1"/>
        <v>10</v>
      </c>
      <c r="R33" s="60">
        <f t="shared" si="1"/>
        <v>10</v>
      </c>
      <c r="S33" s="60"/>
      <c r="T33" s="37">
        <f t="shared" si="0"/>
        <v>398</v>
      </c>
    </row>
    <row r="34" spans="1:20" ht="24.9" customHeight="1" x14ac:dyDescent="0.25">
      <c r="A34" s="55">
        <v>10</v>
      </c>
      <c r="B34" s="92" t="s">
        <v>89</v>
      </c>
      <c r="C34" s="40">
        <v>8</v>
      </c>
      <c r="D34" s="40">
        <v>8</v>
      </c>
      <c r="E34" s="40">
        <v>8</v>
      </c>
      <c r="F34" s="40">
        <v>8</v>
      </c>
      <c r="G34" s="40">
        <v>8</v>
      </c>
      <c r="H34" s="40">
        <v>8</v>
      </c>
      <c r="I34" s="40">
        <v>8</v>
      </c>
      <c r="J34" s="40">
        <v>8</v>
      </c>
      <c r="K34" s="40">
        <v>8</v>
      </c>
      <c r="L34" s="40">
        <v>8</v>
      </c>
      <c r="M34" s="40">
        <v>8</v>
      </c>
      <c r="N34" s="40">
        <v>8</v>
      </c>
      <c r="O34" s="40">
        <v>8</v>
      </c>
      <c r="P34" s="40">
        <v>8</v>
      </c>
      <c r="Q34" s="40">
        <v>8</v>
      </c>
      <c r="R34" s="40">
        <v>8</v>
      </c>
      <c r="S34" s="40" t="s">
        <v>90</v>
      </c>
      <c r="T34" s="37">
        <f t="shared" si="0"/>
        <v>128</v>
      </c>
    </row>
    <row r="35" spans="1:20" ht="24.9" customHeight="1" x14ac:dyDescent="0.25">
      <c r="A35" s="55">
        <v>11</v>
      </c>
      <c r="B35" s="92" t="s">
        <v>91</v>
      </c>
      <c r="C35" s="40">
        <v>5</v>
      </c>
      <c r="D35" s="40">
        <v>6</v>
      </c>
      <c r="E35" s="40">
        <v>6</v>
      </c>
      <c r="F35" s="40">
        <v>6</v>
      </c>
      <c r="G35" s="40">
        <v>6</v>
      </c>
      <c r="H35" s="40">
        <v>6</v>
      </c>
      <c r="I35" s="40">
        <v>6</v>
      </c>
      <c r="J35" s="40">
        <v>6</v>
      </c>
      <c r="K35" s="40">
        <v>6</v>
      </c>
      <c r="L35" s="40">
        <v>6</v>
      </c>
      <c r="M35" s="40">
        <v>6</v>
      </c>
      <c r="N35" s="40">
        <v>6</v>
      </c>
      <c r="O35" s="40">
        <v>6</v>
      </c>
      <c r="P35" s="40">
        <v>6</v>
      </c>
      <c r="Q35" s="40">
        <v>6</v>
      </c>
      <c r="R35" s="40">
        <v>5</v>
      </c>
      <c r="S35" s="40" t="s">
        <v>92</v>
      </c>
      <c r="T35" s="37">
        <f t="shared" si="0"/>
        <v>94</v>
      </c>
    </row>
    <row r="36" spans="1:20" ht="24.9" customHeight="1" x14ac:dyDescent="0.25">
      <c r="A36" s="55">
        <v>12</v>
      </c>
      <c r="B36" s="92" t="s">
        <v>93</v>
      </c>
      <c r="C36" s="44"/>
      <c r="D36" s="44">
        <v>6</v>
      </c>
      <c r="E36" s="44">
        <v>6</v>
      </c>
      <c r="F36" s="44">
        <v>6</v>
      </c>
      <c r="G36" s="94">
        <v>6</v>
      </c>
      <c r="H36" s="44">
        <v>6</v>
      </c>
      <c r="I36" s="94">
        <v>6</v>
      </c>
      <c r="J36" s="95"/>
      <c r="K36" s="44"/>
      <c r="L36" s="44"/>
      <c r="M36" s="44"/>
      <c r="N36" s="44"/>
      <c r="O36" s="44"/>
      <c r="P36" s="44"/>
      <c r="Q36" s="44"/>
      <c r="R36" s="44"/>
      <c r="S36" s="40" t="s">
        <v>94</v>
      </c>
      <c r="T36" s="37">
        <f t="shared" si="0"/>
        <v>36</v>
      </c>
    </row>
    <row r="37" spans="1:20" ht="24.9" customHeight="1" x14ac:dyDescent="0.25">
      <c r="A37" s="55">
        <v>13</v>
      </c>
      <c r="B37" s="92" t="s">
        <v>95</v>
      </c>
      <c r="C37" s="44">
        <v>4</v>
      </c>
      <c r="D37" s="44">
        <v>4</v>
      </c>
      <c r="E37" s="44">
        <v>4</v>
      </c>
      <c r="F37" s="44">
        <v>4</v>
      </c>
      <c r="G37" s="44">
        <v>4</v>
      </c>
      <c r="H37" s="44">
        <v>4</v>
      </c>
      <c r="I37" s="44">
        <v>4</v>
      </c>
      <c r="J37" s="44">
        <v>4</v>
      </c>
      <c r="K37" s="44">
        <v>4</v>
      </c>
      <c r="L37" s="44">
        <v>4</v>
      </c>
      <c r="M37" s="44">
        <v>4</v>
      </c>
      <c r="N37" s="44">
        <v>4</v>
      </c>
      <c r="O37" s="44">
        <v>4</v>
      </c>
      <c r="P37" s="44"/>
      <c r="Q37" s="44"/>
      <c r="R37" s="44"/>
      <c r="S37" s="40" t="s">
        <v>96</v>
      </c>
      <c r="T37" s="37">
        <f t="shared" si="0"/>
        <v>52</v>
      </c>
    </row>
    <row r="38" spans="1:20" ht="24.9" customHeight="1" x14ac:dyDescent="0.25">
      <c r="A38" s="61"/>
      <c r="B38" s="93" t="s">
        <v>149</v>
      </c>
      <c r="C38" s="63">
        <f>SUM(C34:C37)</f>
        <v>17</v>
      </c>
      <c r="D38" s="63">
        <f t="shared" ref="D38:R38" si="2">SUM(D34:D37)</f>
        <v>24</v>
      </c>
      <c r="E38" s="63">
        <f t="shared" si="2"/>
        <v>24</v>
      </c>
      <c r="F38" s="63">
        <f t="shared" si="2"/>
        <v>24</v>
      </c>
      <c r="G38" s="63">
        <f t="shared" si="2"/>
        <v>24</v>
      </c>
      <c r="H38" s="63">
        <f t="shared" si="2"/>
        <v>24</v>
      </c>
      <c r="I38" s="63">
        <f t="shared" si="2"/>
        <v>24</v>
      </c>
      <c r="J38" s="63">
        <f t="shared" si="2"/>
        <v>18</v>
      </c>
      <c r="K38" s="63">
        <f t="shared" si="2"/>
        <v>18</v>
      </c>
      <c r="L38" s="63">
        <f t="shared" si="2"/>
        <v>18</v>
      </c>
      <c r="M38" s="63">
        <f t="shared" si="2"/>
        <v>18</v>
      </c>
      <c r="N38" s="63">
        <f t="shared" si="2"/>
        <v>18</v>
      </c>
      <c r="O38" s="63">
        <f t="shared" si="2"/>
        <v>18</v>
      </c>
      <c r="P38" s="63">
        <f t="shared" si="2"/>
        <v>14</v>
      </c>
      <c r="Q38" s="63">
        <f t="shared" si="2"/>
        <v>14</v>
      </c>
      <c r="R38" s="63">
        <f t="shared" si="2"/>
        <v>13</v>
      </c>
      <c r="S38" s="62"/>
      <c r="T38" s="37">
        <f t="shared" si="0"/>
        <v>310</v>
      </c>
    </row>
    <row r="39" spans="1:20" ht="24.9" customHeight="1" x14ac:dyDescent="0.25">
      <c r="A39" s="55">
        <v>14</v>
      </c>
      <c r="B39" s="92" t="s">
        <v>97</v>
      </c>
      <c r="C39" s="44"/>
      <c r="D39" s="44"/>
      <c r="E39" s="44"/>
      <c r="F39" s="44"/>
      <c r="G39" s="94">
        <v>12</v>
      </c>
      <c r="H39" s="94">
        <v>12</v>
      </c>
      <c r="I39" s="94">
        <v>12</v>
      </c>
      <c r="J39" s="94">
        <v>12</v>
      </c>
      <c r="K39" s="94">
        <v>12</v>
      </c>
      <c r="L39" s="94">
        <v>12</v>
      </c>
      <c r="M39" s="94">
        <v>12</v>
      </c>
      <c r="N39" s="94">
        <v>12</v>
      </c>
      <c r="O39" s="94">
        <v>12</v>
      </c>
      <c r="P39" s="94">
        <v>12</v>
      </c>
      <c r="Q39" s="94">
        <v>12</v>
      </c>
      <c r="R39" s="44"/>
      <c r="S39" s="40" t="s">
        <v>98</v>
      </c>
      <c r="T39" s="37">
        <f>SUM(C39:R39)</f>
        <v>132</v>
      </c>
    </row>
    <row r="40" spans="1:20" ht="24.9" customHeight="1" x14ac:dyDescent="0.25">
      <c r="A40" s="55">
        <v>15</v>
      </c>
      <c r="B40" s="92" t="s">
        <v>99</v>
      </c>
      <c r="C40" s="40">
        <v>4</v>
      </c>
      <c r="D40" s="40">
        <v>8</v>
      </c>
      <c r="E40" s="40">
        <v>12</v>
      </c>
      <c r="F40" s="40">
        <v>16</v>
      </c>
      <c r="G40" s="40">
        <v>16</v>
      </c>
      <c r="H40" s="40">
        <v>16</v>
      </c>
      <c r="I40" s="40">
        <v>16</v>
      </c>
      <c r="J40" s="40">
        <v>16</v>
      </c>
      <c r="K40" s="40">
        <v>16</v>
      </c>
      <c r="L40" s="40">
        <v>16</v>
      </c>
      <c r="M40" s="40">
        <v>16</v>
      </c>
      <c r="N40" s="40">
        <v>16</v>
      </c>
      <c r="O40" s="40">
        <v>16</v>
      </c>
      <c r="P40" s="40">
        <v>12</v>
      </c>
      <c r="Q40" s="40">
        <v>8</v>
      </c>
      <c r="R40" s="40">
        <v>4</v>
      </c>
      <c r="S40" s="40" t="s">
        <v>100</v>
      </c>
      <c r="T40" s="37">
        <f t="shared" si="0"/>
        <v>208</v>
      </c>
    </row>
    <row r="41" spans="1:20" ht="24.9" customHeight="1" x14ac:dyDescent="0.25">
      <c r="A41" s="55">
        <v>16</v>
      </c>
      <c r="B41" s="92" t="s">
        <v>101</v>
      </c>
      <c r="C41" s="44"/>
      <c r="D41" s="44"/>
      <c r="E41" s="44"/>
      <c r="F41" s="44">
        <v>8</v>
      </c>
      <c r="G41" s="94">
        <v>8</v>
      </c>
      <c r="H41" s="44">
        <v>8</v>
      </c>
      <c r="I41" s="94">
        <v>8</v>
      </c>
      <c r="J41" s="95">
        <v>8</v>
      </c>
      <c r="K41" s="44"/>
      <c r="L41" s="44"/>
      <c r="M41" s="44"/>
      <c r="N41" s="44"/>
      <c r="O41" s="44"/>
      <c r="P41" s="44"/>
      <c r="Q41" s="44"/>
      <c r="R41" s="44"/>
      <c r="S41" s="40" t="s">
        <v>102</v>
      </c>
      <c r="T41" s="37">
        <f t="shared" si="0"/>
        <v>40</v>
      </c>
    </row>
    <row r="42" spans="1:20" ht="24.9" customHeight="1" x14ac:dyDescent="0.25">
      <c r="A42" s="55">
        <v>17</v>
      </c>
      <c r="B42" s="92" t="s">
        <v>103</v>
      </c>
      <c r="C42" s="44"/>
      <c r="D42" s="44"/>
      <c r="E42" s="44"/>
      <c r="F42" s="44"/>
      <c r="G42" s="94">
        <v>8</v>
      </c>
      <c r="H42" s="94">
        <v>8</v>
      </c>
      <c r="I42" s="94">
        <v>8</v>
      </c>
      <c r="J42" s="94">
        <v>8</v>
      </c>
      <c r="K42" s="94">
        <v>8</v>
      </c>
      <c r="L42" s="94">
        <v>8</v>
      </c>
      <c r="M42" s="94">
        <v>8</v>
      </c>
      <c r="N42" s="94">
        <v>8</v>
      </c>
      <c r="O42" s="94">
        <v>8</v>
      </c>
      <c r="P42" s="44"/>
      <c r="Q42" s="44"/>
      <c r="R42" s="44"/>
      <c r="S42" s="40" t="s">
        <v>104</v>
      </c>
      <c r="T42" s="37">
        <f t="shared" si="0"/>
        <v>72</v>
      </c>
    </row>
    <row r="43" spans="1:20" ht="24.9" customHeight="1" x14ac:dyDescent="0.25">
      <c r="A43" s="55">
        <v>18</v>
      </c>
      <c r="B43" s="92" t="s">
        <v>105</v>
      </c>
      <c r="C43" s="44"/>
      <c r="D43" s="44"/>
      <c r="E43" s="44"/>
      <c r="F43" s="44"/>
      <c r="G43" s="94">
        <v>12</v>
      </c>
      <c r="H43" s="94">
        <v>12</v>
      </c>
      <c r="I43" s="94">
        <v>12</v>
      </c>
      <c r="J43" s="94">
        <v>12</v>
      </c>
      <c r="K43" s="94">
        <v>12</v>
      </c>
      <c r="L43" s="94">
        <v>12</v>
      </c>
      <c r="M43" s="94">
        <v>12</v>
      </c>
      <c r="N43" s="94">
        <v>12</v>
      </c>
      <c r="O43" s="94">
        <v>12</v>
      </c>
      <c r="P43" s="94">
        <v>12</v>
      </c>
      <c r="Q43" s="94"/>
      <c r="R43" s="44"/>
      <c r="S43" s="40" t="s">
        <v>106</v>
      </c>
      <c r="T43" s="37">
        <f t="shared" si="0"/>
        <v>120</v>
      </c>
    </row>
    <row r="44" spans="1:20" ht="24.9" customHeight="1" x14ac:dyDescent="0.25">
      <c r="A44" s="64"/>
      <c r="B44" s="96" t="s">
        <v>150</v>
      </c>
      <c r="C44" s="65">
        <f>SUM(C39:C43)</f>
        <v>4</v>
      </c>
      <c r="D44" s="65">
        <f t="shared" ref="D44:R44" si="3">SUM(D39:D43)</f>
        <v>8</v>
      </c>
      <c r="E44" s="65">
        <f t="shared" si="3"/>
        <v>12</v>
      </c>
      <c r="F44" s="65">
        <f t="shared" si="3"/>
        <v>24</v>
      </c>
      <c r="G44" s="65">
        <f t="shared" si="3"/>
        <v>56</v>
      </c>
      <c r="H44" s="65">
        <f t="shared" si="3"/>
        <v>56</v>
      </c>
      <c r="I44" s="65">
        <f t="shared" si="3"/>
        <v>56</v>
      </c>
      <c r="J44" s="65">
        <f t="shared" si="3"/>
        <v>56</v>
      </c>
      <c r="K44" s="65">
        <f t="shared" si="3"/>
        <v>48</v>
      </c>
      <c r="L44" s="65">
        <f t="shared" si="3"/>
        <v>48</v>
      </c>
      <c r="M44" s="65">
        <f t="shared" si="3"/>
        <v>48</v>
      </c>
      <c r="N44" s="65">
        <f t="shared" si="3"/>
        <v>48</v>
      </c>
      <c r="O44" s="65">
        <f t="shared" si="3"/>
        <v>48</v>
      </c>
      <c r="P44" s="65">
        <f t="shared" si="3"/>
        <v>36</v>
      </c>
      <c r="Q44" s="65">
        <f t="shared" si="3"/>
        <v>20</v>
      </c>
      <c r="R44" s="65">
        <f t="shared" si="3"/>
        <v>4</v>
      </c>
      <c r="S44" s="66"/>
      <c r="T44" s="37">
        <f t="shared" si="0"/>
        <v>572</v>
      </c>
    </row>
    <row r="45" spans="1:20" ht="24.9" customHeight="1" x14ac:dyDescent="0.25">
      <c r="A45" s="55">
        <v>19</v>
      </c>
      <c r="B45" s="92" t="s">
        <v>107</v>
      </c>
      <c r="C45" s="40">
        <v>4</v>
      </c>
      <c r="D45" s="40">
        <v>8</v>
      </c>
      <c r="E45" s="40">
        <v>12</v>
      </c>
      <c r="F45" s="40">
        <v>16</v>
      </c>
      <c r="G45" s="40">
        <v>16</v>
      </c>
      <c r="H45" s="40">
        <v>16</v>
      </c>
      <c r="I45" s="40">
        <v>16</v>
      </c>
      <c r="J45" s="40">
        <v>16</v>
      </c>
      <c r="K45" s="40">
        <v>16</v>
      </c>
      <c r="L45" s="40">
        <v>16</v>
      </c>
      <c r="M45" s="40">
        <v>16</v>
      </c>
      <c r="N45" s="40">
        <v>16</v>
      </c>
      <c r="O45" s="40">
        <v>16</v>
      </c>
      <c r="P45" s="40">
        <v>12</v>
      </c>
      <c r="Q45" s="40">
        <v>8</v>
      </c>
      <c r="R45" s="40">
        <v>4</v>
      </c>
      <c r="S45" s="40" t="s">
        <v>108</v>
      </c>
      <c r="T45" s="37">
        <f t="shared" si="0"/>
        <v>208</v>
      </c>
    </row>
    <row r="46" spans="1:20" ht="24.9" customHeight="1" x14ac:dyDescent="0.25">
      <c r="A46" s="55">
        <v>20</v>
      </c>
      <c r="B46" s="92" t="s">
        <v>109</v>
      </c>
      <c r="C46" s="40">
        <v>2</v>
      </c>
      <c r="D46" s="40">
        <v>2</v>
      </c>
      <c r="E46" s="40">
        <v>2</v>
      </c>
      <c r="F46" s="40">
        <v>2</v>
      </c>
      <c r="G46" s="40">
        <v>2</v>
      </c>
      <c r="H46" s="40">
        <v>2</v>
      </c>
      <c r="I46" s="40">
        <v>2</v>
      </c>
      <c r="J46" s="40">
        <v>2</v>
      </c>
      <c r="K46" s="40">
        <v>2</v>
      </c>
      <c r="L46" s="40">
        <v>2</v>
      </c>
      <c r="M46" s="40">
        <v>2</v>
      </c>
      <c r="N46" s="40">
        <v>2</v>
      </c>
      <c r="O46" s="40">
        <v>2</v>
      </c>
      <c r="P46" s="40">
        <v>2</v>
      </c>
      <c r="Q46" s="40">
        <v>2</v>
      </c>
      <c r="R46" s="40">
        <v>2</v>
      </c>
      <c r="S46" s="40" t="s">
        <v>110</v>
      </c>
      <c r="T46" s="37">
        <f>SUM(C46:R46)</f>
        <v>32</v>
      </c>
    </row>
    <row r="47" spans="1:20" ht="24.9" customHeight="1" x14ac:dyDescent="0.25">
      <c r="A47" s="67"/>
      <c r="B47" s="98" t="s">
        <v>151</v>
      </c>
      <c r="C47" s="97">
        <f>SUM(C45:C46)</f>
        <v>6</v>
      </c>
      <c r="D47" s="97">
        <f t="shared" ref="D47:R47" si="4">SUM(D45:D46)</f>
        <v>10</v>
      </c>
      <c r="E47" s="97">
        <f t="shared" si="4"/>
        <v>14</v>
      </c>
      <c r="F47" s="97">
        <f t="shared" si="4"/>
        <v>18</v>
      </c>
      <c r="G47" s="97">
        <f t="shared" si="4"/>
        <v>18</v>
      </c>
      <c r="H47" s="97">
        <f t="shared" si="4"/>
        <v>18</v>
      </c>
      <c r="I47" s="97">
        <f t="shared" si="4"/>
        <v>18</v>
      </c>
      <c r="J47" s="97">
        <f t="shared" si="4"/>
        <v>18</v>
      </c>
      <c r="K47" s="97">
        <f t="shared" si="4"/>
        <v>18</v>
      </c>
      <c r="L47" s="97">
        <f t="shared" si="4"/>
        <v>18</v>
      </c>
      <c r="M47" s="97">
        <f t="shared" si="4"/>
        <v>18</v>
      </c>
      <c r="N47" s="97">
        <f t="shared" si="4"/>
        <v>18</v>
      </c>
      <c r="O47" s="97">
        <f t="shared" si="4"/>
        <v>18</v>
      </c>
      <c r="P47" s="97">
        <f t="shared" si="4"/>
        <v>14</v>
      </c>
      <c r="Q47" s="97">
        <f t="shared" si="4"/>
        <v>10</v>
      </c>
      <c r="R47" s="97">
        <f t="shared" si="4"/>
        <v>6</v>
      </c>
      <c r="S47" s="68"/>
      <c r="T47" s="37">
        <f>SUM(C47:R47)</f>
        <v>240</v>
      </c>
    </row>
    <row r="48" spans="1:20" ht="24.9" customHeight="1" x14ac:dyDescent="0.25">
      <c r="A48" s="55">
        <v>21</v>
      </c>
      <c r="B48" s="92" t="s">
        <v>111</v>
      </c>
      <c r="C48" s="44"/>
      <c r="D48" s="44"/>
      <c r="E48" s="44"/>
      <c r="F48" s="44"/>
      <c r="G48" s="94"/>
      <c r="H48" s="44"/>
      <c r="I48" s="94"/>
      <c r="J48" s="95"/>
      <c r="K48" s="44"/>
      <c r="L48" s="44">
        <v>180</v>
      </c>
      <c r="M48" s="44">
        <v>180</v>
      </c>
      <c r="N48" s="44">
        <v>180</v>
      </c>
      <c r="O48" s="44">
        <v>180</v>
      </c>
      <c r="P48" s="44">
        <v>180</v>
      </c>
      <c r="Q48" s="44">
        <v>180</v>
      </c>
      <c r="R48" s="44">
        <v>180</v>
      </c>
      <c r="S48" s="40" t="s">
        <v>112</v>
      </c>
      <c r="T48" s="37">
        <f t="shared" si="0"/>
        <v>1260</v>
      </c>
    </row>
    <row r="49" spans="1:20" ht="24.9" customHeight="1" x14ac:dyDescent="0.25">
      <c r="A49" s="55">
        <v>22</v>
      </c>
      <c r="B49" s="92" t="s">
        <v>113</v>
      </c>
      <c r="C49" s="40"/>
      <c r="D49" s="40"/>
      <c r="E49" s="40"/>
      <c r="F49" s="40"/>
      <c r="G49" s="101"/>
      <c r="H49" s="40"/>
      <c r="I49" s="101"/>
      <c r="J49" s="102"/>
      <c r="K49" s="40"/>
      <c r="L49" s="40"/>
      <c r="M49" s="40"/>
      <c r="N49" s="40"/>
      <c r="O49" s="40"/>
      <c r="P49" s="40"/>
      <c r="Q49" s="40">
        <v>90</v>
      </c>
      <c r="R49" s="40">
        <v>90</v>
      </c>
      <c r="S49" s="40" t="s">
        <v>114</v>
      </c>
      <c r="T49" s="37">
        <f>SUM(C49:R49)</f>
        <v>180</v>
      </c>
    </row>
    <row r="50" spans="1:20" ht="24.9" customHeight="1" x14ac:dyDescent="0.25">
      <c r="A50" s="55">
        <v>23</v>
      </c>
      <c r="B50" s="92" t="s">
        <v>115</v>
      </c>
      <c r="C50" s="40"/>
      <c r="D50" s="40"/>
      <c r="E50" s="40"/>
      <c r="F50" s="40"/>
      <c r="G50" s="101"/>
      <c r="H50" s="40"/>
      <c r="I50" s="101"/>
      <c r="J50" s="102"/>
      <c r="K50" s="40"/>
      <c r="L50" s="40"/>
      <c r="M50" s="40">
        <v>32</v>
      </c>
      <c r="N50" s="40">
        <v>32</v>
      </c>
      <c r="O50" s="40">
        <v>32</v>
      </c>
      <c r="P50" s="40">
        <v>32</v>
      </c>
      <c r="Q50" s="40">
        <v>32</v>
      </c>
      <c r="R50" s="40">
        <v>32</v>
      </c>
      <c r="S50" s="40" t="s">
        <v>116</v>
      </c>
      <c r="T50" s="37">
        <f t="shared" ref="T50:T54" si="5">SUM(C50:R50)</f>
        <v>192</v>
      </c>
    </row>
    <row r="51" spans="1:20" ht="24.9" customHeight="1" x14ac:dyDescent="0.25">
      <c r="A51" s="55">
        <v>24</v>
      </c>
      <c r="B51" s="92" t="s">
        <v>117</v>
      </c>
      <c r="C51" s="40"/>
      <c r="D51" s="40"/>
      <c r="E51" s="40"/>
      <c r="F51" s="40"/>
      <c r="G51" s="101"/>
      <c r="H51" s="40"/>
      <c r="I51" s="101"/>
      <c r="J51" s="102"/>
      <c r="K51" s="40"/>
      <c r="L51" s="40"/>
      <c r="M51" s="40">
        <v>20</v>
      </c>
      <c r="N51" s="40">
        <v>20</v>
      </c>
      <c r="O51" s="40">
        <v>20</v>
      </c>
      <c r="P51" s="40">
        <v>20</v>
      </c>
      <c r="Q51" s="40">
        <v>20</v>
      </c>
      <c r="R51" s="40">
        <v>20</v>
      </c>
      <c r="S51" s="40" t="s">
        <v>116</v>
      </c>
      <c r="T51" s="37">
        <f t="shared" si="5"/>
        <v>120</v>
      </c>
    </row>
    <row r="52" spans="1:20" ht="24.9" customHeight="1" x14ac:dyDescent="0.25">
      <c r="A52" s="55">
        <v>25</v>
      </c>
      <c r="B52" s="92" t="s">
        <v>118</v>
      </c>
      <c r="C52" s="40"/>
      <c r="D52" s="40"/>
      <c r="E52" s="40"/>
      <c r="F52" s="40"/>
      <c r="G52" s="101"/>
      <c r="H52" s="40"/>
      <c r="I52" s="101"/>
      <c r="J52" s="102"/>
      <c r="K52" s="40"/>
      <c r="L52" s="40"/>
      <c r="M52" s="40"/>
      <c r="N52" s="40"/>
      <c r="O52" s="40"/>
      <c r="P52" s="40">
        <v>15</v>
      </c>
      <c r="Q52" s="40">
        <v>15</v>
      </c>
      <c r="R52" s="40">
        <v>15</v>
      </c>
      <c r="S52" s="40" t="s">
        <v>119</v>
      </c>
      <c r="T52" s="37">
        <f t="shared" si="5"/>
        <v>45</v>
      </c>
    </row>
    <row r="53" spans="1:20" ht="24.9" customHeight="1" x14ac:dyDescent="0.25">
      <c r="A53" s="55">
        <v>26</v>
      </c>
      <c r="B53" s="92" t="s">
        <v>120</v>
      </c>
      <c r="C53" s="40"/>
      <c r="D53" s="40"/>
      <c r="E53" s="40"/>
      <c r="F53" s="40"/>
      <c r="G53" s="101"/>
      <c r="H53" s="40"/>
      <c r="I53" s="101"/>
      <c r="J53" s="102"/>
      <c r="K53" s="40"/>
      <c r="L53" s="40"/>
      <c r="M53" s="40"/>
      <c r="N53" s="40"/>
      <c r="O53" s="40"/>
      <c r="P53" s="40"/>
      <c r="Q53" s="40"/>
      <c r="R53" s="40"/>
      <c r="S53" s="40" t="s">
        <v>121</v>
      </c>
      <c r="T53" s="37">
        <f t="shared" si="5"/>
        <v>0</v>
      </c>
    </row>
    <row r="54" spans="1:20" ht="24.9" customHeight="1" x14ac:dyDescent="0.25">
      <c r="A54" s="99"/>
      <c r="B54" s="100" t="s">
        <v>152</v>
      </c>
      <c r="C54" s="69">
        <f t="shared" ref="C54:K54" si="6">SUM(C48:C53)</f>
        <v>0</v>
      </c>
      <c r="D54" s="69">
        <f t="shared" si="6"/>
        <v>0</v>
      </c>
      <c r="E54" s="69">
        <f t="shared" si="6"/>
        <v>0</v>
      </c>
      <c r="F54" s="69">
        <f t="shared" si="6"/>
        <v>0</v>
      </c>
      <c r="G54" s="69">
        <f t="shared" si="6"/>
        <v>0</v>
      </c>
      <c r="H54" s="69">
        <f t="shared" si="6"/>
        <v>0</v>
      </c>
      <c r="I54" s="69">
        <f t="shared" si="6"/>
        <v>0</v>
      </c>
      <c r="J54" s="69">
        <f t="shared" si="6"/>
        <v>0</v>
      </c>
      <c r="K54" s="69">
        <f t="shared" si="6"/>
        <v>0</v>
      </c>
      <c r="L54" s="69">
        <f>SUM(L48:L53)</f>
        <v>180</v>
      </c>
      <c r="M54" s="69">
        <f t="shared" ref="M54:R54" si="7">SUM(M48:M53)</f>
        <v>232</v>
      </c>
      <c r="N54" s="69">
        <f t="shared" si="7"/>
        <v>232</v>
      </c>
      <c r="O54" s="69">
        <f t="shared" si="7"/>
        <v>232</v>
      </c>
      <c r="P54" s="69">
        <f t="shared" si="7"/>
        <v>247</v>
      </c>
      <c r="Q54" s="69">
        <f t="shared" si="7"/>
        <v>337</v>
      </c>
      <c r="R54" s="69">
        <f t="shared" si="7"/>
        <v>337</v>
      </c>
      <c r="S54" s="69"/>
      <c r="T54" s="37">
        <f t="shared" si="5"/>
        <v>1797</v>
      </c>
    </row>
    <row r="55" spans="1:20" ht="24.9" customHeight="1" x14ac:dyDescent="0.25">
      <c r="A55" s="70"/>
      <c r="B55" s="71"/>
      <c r="C55" s="71"/>
      <c r="D55" s="71"/>
      <c r="E55" s="71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37">
        <f>SUM(C55:R55)</f>
        <v>0</v>
      </c>
    </row>
    <row r="56" spans="1:20" ht="24.9" customHeight="1" x14ac:dyDescent="0.25">
      <c r="A56" s="72"/>
      <c r="B56" s="72" t="s">
        <v>71</v>
      </c>
      <c r="C56" s="73">
        <f>C24+C33+C38+C44+C47+C54</f>
        <v>49</v>
      </c>
      <c r="D56" s="73">
        <f t="shared" ref="D56:R56" si="8">D24+D33+D38+D44+D47+D54</f>
        <v>73</v>
      </c>
      <c r="E56" s="73">
        <f t="shared" si="8"/>
        <v>81</v>
      </c>
      <c r="F56" s="73">
        <f>F24+F33+F38+F44+F47+F54</f>
        <v>97</v>
      </c>
      <c r="G56" s="73">
        <f t="shared" si="8"/>
        <v>129</v>
      </c>
      <c r="H56" s="73">
        <f t="shared" si="8"/>
        <v>129</v>
      </c>
      <c r="I56" s="73">
        <f t="shared" si="8"/>
        <v>129</v>
      </c>
      <c r="J56" s="73">
        <f t="shared" si="8"/>
        <v>123</v>
      </c>
      <c r="K56" s="73">
        <f t="shared" si="8"/>
        <v>115</v>
      </c>
      <c r="L56" s="73">
        <f t="shared" si="8"/>
        <v>299</v>
      </c>
      <c r="M56" s="73">
        <f t="shared" si="8"/>
        <v>351</v>
      </c>
      <c r="N56" s="73">
        <f t="shared" si="8"/>
        <v>343</v>
      </c>
      <c r="O56" s="73">
        <f t="shared" si="8"/>
        <v>343</v>
      </c>
      <c r="P56" s="73">
        <f t="shared" si="8"/>
        <v>323</v>
      </c>
      <c r="Q56" s="73">
        <f t="shared" si="8"/>
        <v>393</v>
      </c>
      <c r="R56" s="73">
        <f t="shared" si="8"/>
        <v>372</v>
      </c>
      <c r="S56" s="73"/>
      <c r="T56" s="37">
        <f t="shared" si="0"/>
        <v>3349</v>
      </c>
    </row>
    <row r="57" spans="1:20" ht="24.9" customHeight="1" x14ac:dyDescent="0.25">
      <c r="A57" s="74" t="s">
        <v>122</v>
      </c>
      <c r="B57" s="57" t="s">
        <v>123</v>
      </c>
      <c r="C57" s="75"/>
      <c r="D57" s="75"/>
      <c r="E57" s="75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7">
        <f t="shared" si="0"/>
        <v>0</v>
      </c>
    </row>
    <row r="58" spans="1:20" ht="24.9" customHeight="1" x14ac:dyDescent="0.25">
      <c r="A58" s="74"/>
      <c r="B58" s="38" t="s">
        <v>124</v>
      </c>
      <c r="C58" s="40"/>
      <c r="D58" s="40">
        <v>60</v>
      </c>
      <c r="E58" s="40">
        <v>120</v>
      </c>
      <c r="F58" s="40">
        <v>200</v>
      </c>
      <c r="G58" s="40">
        <v>200</v>
      </c>
      <c r="H58" s="40">
        <v>200</v>
      </c>
      <c r="I58" s="40">
        <v>200</v>
      </c>
      <c r="J58" s="40">
        <v>100</v>
      </c>
      <c r="K58" s="40">
        <v>60</v>
      </c>
      <c r="L58" s="40"/>
      <c r="M58" s="40"/>
      <c r="N58" s="40"/>
      <c r="O58" s="40"/>
      <c r="P58" s="40"/>
      <c r="Q58" s="40"/>
      <c r="R58" s="40"/>
      <c r="S58" s="40" t="s">
        <v>125</v>
      </c>
      <c r="T58" s="37">
        <f t="shared" si="0"/>
        <v>1140</v>
      </c>
    </row>
    <row r="59" spans="1:20" ht="24.9" customHeight="1" x14ac:dyDescent="0.25">
      <c r="A59" s="55"/>
      <c r="B59" s="38" t="s">
        <v>62</v>
      </c>
      <c r="C59" s="56"/>
      <c r="D59" s="56"/>
      <c r="E59" s="40">
        <v>15</v>
      </c>
      <c r="F59" s="40">
        <v>30</v>
      </c>
      <c r="G59" s="40">
        <v>40</v>
      </c>
      <c r="H59" s="40">
        <v>40</v>
      </c>
      <c r="I59" s="40">
        <v>40</v>
      </c>
      <c r="J59" s="40">
        <v>40</v>
      </c>
      <c r="K59" s="40">
        <v>20</v>
      </c>
      <c r="L59" s="40"/>
      <c r="M59" s="40"/>
      <c r="N59" s="40"/>
      <c r="O59" s="40"/>
      <c r="P59" s="40"/>
      <c r="Q59" s="40"/>
      <c r="R59" s="40"/>
      <c r="S59" s="40" t="s">
        <v>125</v>
      </c>
      <c r="T59" s="37">
        <f t="shared" si="0"/>
        <v>225</v>
      </c>
    </row>
    <row r="60" spans="1:20" ht="24.9" customHeight="1" x14ac:dyDescent="0.25">
      <c r="A60" s="55"/>
      <c r="B60" s="38" t="s">
        <v>126</v>
      </c>
      <c r="C60" s="56"/>
      <c r="D60" s="56"/>
      <c r="E60" s="56"/>
      <c r="F60" s="40">
        <v>10</v>
      </c>
      <c r="G60" s="40">
        <v>10</v>
      </c>
      <c r="H60" s="40">
        <v>10</v>
      </c>
      <c r="I60" s="40">
        <v>10</v>
      </c>
      <c r="J60" s="40">
        <v>20</v>
      </c>
      <c r="K60" s="40">
        <v>20</v>
      </c>
      <c r="L60" s="40"/>
      <c r="M60" s="40"/>
      <c r="N60" s="40"/>
      <c r="O60" s="40"/>
      <c r="P60" s="40"/>
      <c r="Q60" s="40"/>
      <c r="R60" s="40"/>
      <c r="S60" s="40" t="s">
        <v>125</v>
      </c>
      <c r="T60" s="37">
        <f t="shared" ref="T60:T81" si="9">SUM(C60:R60)</f>
        <v>80</v>
      </c>
    </row>
    <row r="61" spans="1:20" ht="24.9" customHeight="1" x14ac:dyDescent="0.25">
      <c r="A61" s="55"/>
      <c r="B61" s="38" t="s">
        <v>127</v>
      </c>
      <c r="C61" s="56"/>
      <c r="D61" s="56"/>
      <c r="E61" s="56"/>
      <c r="F61" s="40"/>
      <c r="G61" s="40"/>
      <c r="H61" s="40"/>
      <c r="I61" s="40">
        <v>40</v>
      </c>
      <c r="J61" s="40">
        <v>40</v>
      </c>
      <c r="K61" s="40">
        <v>40</v>
      </c>
      <c r="L61" s="40">
        <v>40</v>
      </c>
      <c r="M61" s="40">
        <v>40</v>
      </c>
      <c r="N61" s="40">
        <v>40</v>
      </c>
      <c r="O61" s="40"/>
      <c r="P61" s="40"/>
      <c r="Q61" s="40"/>
      <c r="R61" s="40"/>
      <c r="S61" s="40" t="s">
        <v>125</v>
      </c>
      <c r="T61" s="37">
        <f t="shared" si="9"/>
        <v>240</v>
      </c>
    </row>
    <row r="62" spans="1:20" ht="24.9" customHeight="1" x14ac:dyDescent="0.25">
      <c r="A62" s="70"/>
      <c r="B62" s="76" t="s">
        <v>128</v>
      </c>
      <c r="C62" s="71"/>
      <c r="D62" s="44"/>
      <c r="E62" s="44">
        <v>16</v>
      </c>
      <c r="F62" s="44">
        <v>16</v>
      </c>
      <c r="G62" s="44">
        <v>16</v>
      </c>
      <c r="H62" s="44">
        <v>16</v>
      </c>
      <c r="I62" s="44">
        <v>16</v>
      </c>
      <c r="J62" s="44"/>
      <c r="K62" s="44"/>
      <c r="L62" s="44"/>
      <c r="M62" s="44"/>
      <c r="N62" s="44"/>
      <c r="O62" s="44"/>
      <c r="P62" s="44"/>
      <c r="Q62" s="44"/>
      <c r="R62" s="44"/>
      <c r="S62" s="40" t="s">
        <v>125</v>
      </c>
      <c r="T62" s="37">
        <f t="shared" si="9"/>
        <v>80</v>
      </c>
    </row>
    <row r="63" spans="1:20" ht="24.9" customHeight="1" x14ac:dyDescent="0.25">
      <c r="A63" s="70"/>
      <c r="B63" s="76" t="s">
        <v>129</v>
      </c>
      <c r="C63" s="71"/>
      <c r="D63" s="44"/>
      <c r="E63" s="44">
        <v>10</v>
      </c>
      <c r="F63" s="40">
        <v>10</v>
      </c>
      <c r="G63" s="40">
        <v>10</v>
      </c>
      <c r="H63" s="40">
        <v>10</v>
      </c>
      <c r="I63" s="40">
        <v>10</v>
      </c>
      <c r="J63" s="40"/>
      <c r="K63" s="40"/>
      <c r="L63" s="40"/>
      <c r="M63" s="40"/>
      <c r="N63" s="44"/>
      <c r="O63" s="44"/>
      <c r="P63" s="44"/>
      <c r="Q63" s="44"/>
      <c r="R63" s="44"/>
      <c r="S63" s="58" t="s">
        <v>73</v>
      </c>
      <c r="T63" s="37">
        <f t="shared" si="9"/>
        <v>50</v>
      </c>
    </row>
    <row r="64" spans="1:20" s="77" customFormat="1" ht="24.9" customHeight="1" x14ac:dyDescent="0.25">
      <c r="A64" s="70"/>
      <c r="B64" s="71"/>
      <c r="C64" s="71"/>
      <c r="D64" s="71"/>
      <c r="E64" s="71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37">
        <f t="shared" si="9"/>
        <v>0</v>
      </c>
    </row>
    <row r="65" spans="1:20" s="77" customFormat="1" ht="24.9" customHeight="1" x14ac:dyDescent="0.25">
      <c r="A65" s="72"/>
      <c r="B65" s="72" t="s">
        <v>123</v>
      </c>
      <c r="C65" s="73">
        <f t="shared" ref="C65:R65" si="10">SUM(C58:C64)</f>
        <v>0</v>
      </c>
      <c r="D65" s="73">
        <f t="shared" si="10"/>
        <v>60</v>
      </c>
      <c r="E65" s="73">
        <f t="shared" si="10"/>
        <v>161</v>
      </c>
      <c r="F65" s="73">
        <f>SUM(F58:F64)</f>
        <v>266</v>
      </c>
      <c r="G65" s="73">
        <f t="shared" si="10"/>
        <v>276</v>
      </c>
      <c r="H65" s="73">
        <f t="shared" si="10"/>
        <v>276</v>
      </c>
      <c r="I65" s="73">
        <f t="shared" si="10"/>
        <v>316</v>
      </c>
      <c r="J65" s="73">
        <f t="shared" si="10"/>
        <v>200</v>
      </c>
      <c r="K65" s="73">
        <f t="shared" si="10"/>
        <v>140</v>
      </c>
      <c r="L65" s="73">
        <f t="shared" si="10"/>
        <v>40</v>
      </c>
      <c r="M65" s="73">
        <f t="shared" si="10"/>
        <v>40</v>
      </c>
      <c r="N65" s="73">
        <f t="shared" si="10"/>
        <v>40</v>
      </c>
      <c r="O65" s="73">
        <f t="shared" si="10"/>
        <v>0</v>
      </c>
      <c r="P65" s="73">
        <f t="shared" si="10"/>
        <v>0</v>
      </c>
      <c r="Q65" s="73">
        <f t="shared" si="10"/>
        <v>0</v>
      </c>
      <c r="R65" s="73">
        <f t="shared" si="10"/>
        <v>0</v>
      </c>
      <c r="S65" s="73"/>
      <c r="T65" s="37">
        <f t="shared" si="9"/>
        <v>1815</v>
      </c>
    </row>
    <row r="66" spans="1:20" s="77" customFormat="1" ht="24.9" customHeight="1" x14ac:dyDescent="0.25">
      <c r="A66" s="74" t="s">
        <v>130</v>
      </c>
      <c r="B66" s="57" t="s">
        <v>131</v>
      </c>
      <c r="C66" s="75"/>
      <c r="D66" s="75"/>
      <c r="E66" s="75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7">
        <f t="shared" si="9"/>
        <v>0</v>
      </c>
    </row>
    <row r="67" spans="1:20" s="77" customFormat="1" ht="24.9" customHeight="1" x14ac:dyDescent="0.25">
      <c r="A67" s="74"/>
      <c r="B67" s="57" t="s">
        <v>132</v>
      </c>
      <c r="C67" s="56"/>
      <c r="D67" s="56"/>
      <c r="E67" s="56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7">
        <f t="shared" si="9"/>
        <v>0</v>
      </c>
    </row>
    <row r="68" spans="1:20" s="77" customFormat="1" ht="25.5" customHeight="1" x14ac:dyDescent="0.25">
      <c r="A68" s="55">
        <v>1</v>
      </c>
      <c r="B68" s="56" t="s">
        <v>133</v>
      </c>
      <c r="C68" s="56"/>
      <c r="D68" s="56"/>
      <c r="E68" s="56"/>
      <c r="F68" s="78"/>
      <c r="G68" s="78">
        <v>60</v>
      </c>
      <c r="H68" s="79">
        <v>120</v>
      </c>
      <c r="I68" s="79">
        <v>120</v>
      </c>
      <c r="J68" s="79">
        <v>120</v>
      </c>
      <c r="K68" s="79">
        <v>120</v>
      </c>
      <c r="L68" s="79"/>
      <c r="M68" s="79"/>
      <c r="N68" s="79"/>
      <c r="O68" s="79"/>
      <c r="P68" s="79"/>
      <c r="Q68" s="32"/>
      <c r="R68" s="32"/>
      <c r="S68" s="40" t="s">
        <v>125</v>
      </c>
      <c r="T68" s="37">
        <f t="shared" si="9"/>
        <v>540</v>
      </c>
    </row>
    <row r="69" spans="1:20" s="77" customFormat="1" ht="24.9" customHeight="1" x14ac:dyDescent="0.25">
      <c r="A69" s="55">
        <v>2</v>
      </c>
      <c r="B69" s="56" t="s">
        <v>134</v>
      </c>
      <c r="C69" s="56"/>
      <c r="D69" s="56"/>
      <c r="E69" s="56"/>
      <c r="F69" s="78"/>
      <c r="G69" s="78">
        <v>20</v>
      </c>
      <c r="H69" s="79">
        <v>20</v>
      </c>
      <c r="I69" s="79">
        <v>20</v>
      </c>
      <c r="J69" s="79">
        <v>20</v>
      </c>
      <c r="K69" s="79">
        <v>20</v>
      </c>
      <c r="L69" s="79"/>
      <c r="M69" s="79"/>
      <c r="N69" s="79"/>
      <c r="O69" s="79"/>
      <c r="P69" s="79"/>
      <c r="Q69" s="32"/>
      <c r="R69" s="32"/>
      <c r="S69" s="40" t="s">
        <v>125</v>
      </c>
      <c r="T69" s="37">
        <f t="shared" si="9"/>
        <v>100</v>
      </c>
    </row>
    <row r="70" spans="1:20" s="77" customFormat="1" ht="24.9" customHeight="1" x14ac:dyDescent="0.25">
      <c r="A70" s="55">
        <v>3</v>
      </c>
      <c r="B70" s="56" t="s">
        <v>135</v>
      </c>
      <c r="C70" s="56"/>
      <c r="D70" s="56"/>
      <c r="E70" s="56"/>
      <c r="F70" s="78"/>
      <c r="G70" s="78"/>
      <c r="H70" s="79"/>
      <c r="I70" s="79">
        <v>40</v>
      </c>
      <c r="J70" s="79">
        <v>40</v>
      </c>
      <c r="K70" s="78">
        <v>40</v>
      </c>
      <c r="L70" s="78">
        <v>40</v>
      </c>
      <c r="M70" s="78"/>
      <c r="N70" s="78"/>
      <c r="O70" s="78"/>
      <c r="P70" s="40"/>
      <c r="Q70" s="40"/>
      <c r="R70" s="40"/>
      <c r="S70" s="58" t="s">
        <v>73</v>
      </c>
      <c r="T70" s="37">
        <f t="shared" si="9"/>
        <v>160</v>
      </c>
    </row>
    <row r="71" spans="1:20" s="77" customFormat="1" ht="24.9" customHeight="1" x14ac:dyDescent="0.25">
      <c r="A71" s="55">
        <v>4</v>
      </c>
      <c r="B71" s="56" t="s">
        <v>136</v>
      </c>
      <c r="C71" s="56"/>
      <c r="D71" s="56"/>
      <c r="E71" s="56"/>
      <c r="F71" s="78"/>
      <c r="G71" s="78"/>
      <c r="H71" s="79"/>
      <c r="I71" s="79">
        <v>30</v>
      </c>
      <c r="J71" s="79">
        <v>60</v>
      </c>
      <c r="K71" s="78">
        <v>60</v>
      </c>
      <c r="L71" s="78">
        <v>60</v>
      </c>
      <c r="M71" s="78">
        <v>60</v>
      </c>
      <c r="N71" s="78">
        <v>60</v>
      </c>
      <c r="O71" s="78">
        <v>60</v>
      </c>
      <c r="P71" s="40"/>
      <c r="Q71" s="40"/>
      <c r="R71" s="40"/>
      <c r="S71" s="40" t="s">
        <v>125</v>
      </c>
      <c r="T71" s="37">
        <f t="shared" si="9"/>
        <v>390</v>
      </c>
    </row>
    <row r="72" spans="1:20" s="77" customFormat="1" ht="24.9" customHeight="1" x14ac:dyDescent="0.25">
      <c r="A72" s="55">
        <v>5</v>
      </c>
      <c r="B72" s="56" t="s">
        <v>137</v>
      </c>
      <c r="C72" s="56"/>
      <c r="D72" s="56"/>
      <c r="E72" s="56"/>
      <c r="F72" s="78"/>
      <c r="G72" s="78"/>
      <c r="H72" s="79">
        <v>24</v>
      </c>
      <c r="I72" s="79">
        <v>24</v>
      </c>
      <c r="J72" s="79">
        <v>24</v>
      </c>
      <c r="K72" s="79">
        <v>24</v>
      </c>
      <c r="L72" s="79">
        <v>24</v>
      </c>
      <c r="M72" s="79">
        <v>24</v>
      </c>
      <c r="N72" s="79">
        <v>24</v>
      </c>
      <c r="O72" s="79">
        <v>24</v>
      </c>
      <c r="P72" s="78"/>
      <c r="Q72" s="78"/>
      <c r="R72" s="78"/>
      <c r="S72" s="58" t="s">
        <v>73</v>
      </c>
      <c r="T72" s="37">
        <f t="shared" si="9"/>
        <v>192</v>
      </c>
    </row>
    <row r="73" spans="1:20" s="77" customFormat="1" ht="24.9" customHeight="1" x14ac:dyDescent="0.25">
      <c r="A73" s="55">
        <v>6</v>
      </c>
      <c r="B73" s="56" t="s">
        <v>138</v>
      </c>
      <c r="C73" s="56"/>
      <c r="D73" s="56"/>
      <c r="E73" s="80"/>
      <c r="F73" s="78"/>
      <c r="G73" s="78"/>
      <c r="H73" s="79"/>
      <c r="I73" s="79"/>
      <c r="J73" s="79">
        <v>20</v>
      </c>
      <c r="K73" s="79">
        <v>40</v>
      </c>
      <c r="L73" s="79">
        <v>40</v>
      </c>
      <c r="M73" s="79">
        <v>40</v>
      </c>
      <c r="N73" s="79">
        <v>40</v>
      </c>
      <c r="O73" s="79">
        <v>40</v>
      </c>
      <c r="P73" s="78">
        <v>20</v>
      </c>
      <c r="Q73" s="78">
        <v>10</v>
      </c>
      <c r="R73" s="40">
        <v>10</v>
      </c>
      <c r="S73" s="58" t="s">
        <v>73</v>
      </c>
      <c r="T73" s="37">
        <f t="shared" si="9"/>
        <v>260</v>
      </c>
    </row>
    <row r="74" spans="1:20" s="77" customFormat="1" ht="24.9" customHeight="1" x14ac:dyDescent="0.25">
      <c r="A74" s="55">
        <v>7</v>
      </c>
      <c r="B74" s="56" t="s">
        <v>139</v>
      </c>
      <c r="C74" s="56"/>
      <c r="D74" s="56"/>
      <c r="E74" s="56"/>
      <c r="F74" s="78"/>
      <c r="G74" s="78"/>
      <c r="H74" s="79"/>
      <c r="I74" s="79"/>
      <c r="J74" s="79">
        <v>10</v>
      </c>
      <c r="K74" s="79">
        <v>10</v>
      </c>
      <c r="L74" s="79">
        <v>10</v>
      </c>
      <c r="M74" s="79">
        <v>10</v>
      </c>
      <c r="N74" s="79">
        <v>10</v>
      </c>
      <c r="O74" s="79">
        <v>10</v>
      </c>
      <c r="P74" s="79">
        <v>10</v>
      </c>
      <c r="Q74" s="78"/>
      <c r="R74" s="78"/>
      <c r="S74" s="58" t="s">
        <v>73</v>
      </c>
      <c r="T74" s="37">
        <f t="shared" si="9"/>
        <v>70</v>
      </c>
    </row>
    <row r="75" spans="1:20" ht="24.9" customHeight="1" x14ac:dyDescent="0.25">
      <c r="A75" s="55">
        <v>8</v>
      </c>
      <c r="B75" s="56" t="s">
        <v>140</v>
      </c>
      <c r="C75" s="56"/>
      <c r="D75" s="56"/>
      <c r="E75" s="56"/>
      <c r="F75" s="78"/>
      <c r="G75" s="78"/>
      <c r="H75" s="79"/>
      <c r="I75" s="79">
        <v>80</v>
      </c>
      <c r="J75" s="79">
        <v>80</v>
      </c>
      <c r="K75" s="79">
        <v>80</v>
      </c>
      <c r="L75" s="79"/>
      <c r="M75" s="79"/>
      <c r="N75" s="79"/>
      <c r="O75" s="79"/>
      <c r="P75" s="79"/>
      <c r="Q75" s="79"/>
      <c r="R75" s="32"/>
      <c r="S75" s="40" t="s">
        <v>141</v>
      </c>
      <c r="T75" s="37">
        <f t="shared" si="9"/>
        <v>240</v>
      </c>
    </row>
    <row r="76" spans="1:20" ht="24.9" customHeight="1" x14ac:dyDescent="0.25">
      <c r="A76" s="55">
        <v>9</v>
      </c>
      <c r="B76" s="56" t="s">
        <v>142</v>
      </c>
      <c r="C76" s="56"/>
      <c r="D76" s="56"/>
      <c r="E76" s="56"/>
      <c r="F76" s="78"/>
      <c r="G76" s="78"/>
      <c r="H76" s="79"/>
      <c r="I76" s="79"/>
      <c r="J76" s="79">
        <v>10</v>
      </c>
      <c r="K76" s="78">
        <v>10</v>
      </c>
      <c r="L76" s="78">
        <v>10</v>
      </c>
      <c r="M76" s="78">
        <v>10</v>
      </c>
      <c r="N76" s="78">
        <v>10</v>
      </c>
      <c r="O76" s="78">
        <v>10</v>
      </c>
      <c r="P76" s="78">
        <v>10</v>
      </c>
      <c r="Q76" s="78"/>
      <c r="R76" s="40"/>
      <c r="S76" s="58" t="s">
        <v>73</v>
      </c>
      <c r="T76" s="37">
        <f t="shared" si="9"/>
        <v>70</v>
      </c>
    </row>
    <row r="77" spans="1:20" ht="24.9" customHeight="1" x14ac:dyDescent="0.25">
      <c r="A77" s="55">
        <v>10</v>
      </c>
      <c r="B77" s="56" t="s">
        <v>143</v>
      </c>
      <c r="C77" s="56"/>
      <c r="D77" s="56"/>
      <c r="E77" s="80"/>
      <c r="F77" s="78"/>
      <c r="G77" s="78"/>
      <c r="H77" s="79"/>
      <c r="I77" s="79"/>
      <c r="J77" s="79"/>
      <c r="K77" s="78">
        <v>24</v>
      </c>
      <c r="L77" s="78">
        <v>24</v>
      </c>
      <c r="M77" s="78">
        <v>24</v>
      </c>
      <c r="N77" s="78">
        <v>24</v>
      </c>
      <c r="O77" s="78">
        <v>24</v>
      </c>
      <c r="P77" s="78">
        <v>24</v>
      </c>
      <c r="Q77" s="78"/>
      <c r="R77" s="40"/>
      <c r="S77" s="58" t="s">
        <v>73</v>
      </c>
      <c r="T77" s="37">
        <f t="shared" si="9"/>
        <v>144</v>
      </c>
    </row>
    <row r="78" spans="1:20" ht="24.9" customHeight="1" x14ac:dyDescent="0.25">
      <c r="A78" s="81"/>
      <c r="B78" s="82"/>
      <c r="C78" s="71"/>
      <c r="D78" s="71"/>
      <c r="E78" s="71"/>
      <c r="F78" s="40"/>
      <c r="G78" s="40"/>
      <c r="H78" s="32"/>
      <c r="I78" s="32"/>
      <c r="J78" s="44"/>
      <c r="K78" s="44"/>
      <c r="L78" s="44"/>
      <c r="M78" s="32"/>
      <c r="N78" s="32"/>
      <c r="O78" s="32"/>
      <c r="P78" s="32"/>
      <c r="Q78" s="32"/>
      <c r="R78" s="32"/>
      <c r="S78" s="44"/>
      <c r="T78" s="37">
        <f t="shared" si="9"/>
        <v>0</v>
      </c>
    </row>
    <row r="79" spans="1:20" ht="24.9" customHeight="1" x14ac:dyDescent="0.25">
      <c r="A79" s="72"/>
      <c r="B79" s="72" t="s">
        <v>131</v>
      </c>
      <c r="C79" s="83">
        <f t="shared" ref="C79:E79" si="11">SUM(C68:C78)</f>
        <v>0</v>
      </c>
      <c r="D79" s="83">
        <f t="shared" si="11"/>
        <v>0</v>
      </c>
      <c r="E79" s="83">
        <f t="shared" si="11"/>
        <v>0</v>
      </c>
      <c r="F79" s="83">
        <f>SUM(F68:F78)</f>
        <v>0</v>
      </c>
      <c r="G79" s="83">
        <f t="shared" ref="G79:R79" si="12">SUM(G68:G78)</f>
        <v>80</v>
      </c>
      <c r="H79" s="83">
        <f t="shared" si="12"/>
        <v>164</v>
      </c>
      <c r="I79" s="83">
        <f t="shared" si="12"/>
        <v>314</v>
      </c>
      <c r="J79" s="83">
        <f>SUM(J68:J78)</f>
        <v>384</v>
      </c>
      <c r="K79" s="83">
        <f t="shared" si="12"/>
        <v>428</v>
      </c>
      <c r="L79" s="83">
        <f t="shared" si="12"/>
        <v>208</v>
      </c>
      <c r="M79" s="83">
        <f t="shared" si="12"/>
        <v>168</v>
      </c>
      <c r="N79" s="83">
        <f>SUM(N68:N78)</f>
        <v>168</v>
      </c>
      <c r="O79" s="83">
        <f t="shared" si="12"/>
        <v>168</v>
      </c>
      <c r="P79" s="83">
        <f t="shared" si="12"/>
        <v>64</v>
      </c>
      <c r="Q79" s="83">
        <f t="shared" si="12"/>
        <v>10</v>
      </c>
      <c r="R79" s="83">
        <f t="shared" si="12"/>
        <v>10</v>
      </c>
      <c r="S79" s="73"/>
      <c r="T79" s="37">
        <f t="shared" si="9"/>
        <v>2166</v>
      </c>
    </row>
    <row r="80" spans="1:20" ht="24.9" customHeight="1" x14ac:dyDescent="0.25">
      <c r="A80" s="81"/>
      <c r="B80" s="75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37">
        <f t="shared" si="9"/>
        <v>0</v>
      </c>
    </row>
    <row r="81" spans="1:20" ht="24.9" customHeight="1" x14ac:dyDescent="0.25">
      <c r="A81" s="84"/>
      <c r="B81" s="85" t="s">
        <v>144</v>
      </c>
      <c r="C81" s="86">
        <f t="shared" ref="C81:R81" si="13">+C79+C65+C56</f>
        <v>49</v>
      </c>
      <c r="D81" s="86">
        <f t="shared" si="13"/>
        <v>133</v>
      </c>
      <c r="E81" s="86">
        <f t="shared" si="13"/>
        <v>242</v>
      </c>
      <c r="F81" s="86">
        <f t="shared" si="13"/>
        <v>363</v>
      </c>
      <c r="G81" s="86">
        <f t="shared" si="13"/>
        <v>485</v>
      </c>
      <c r="H81" s="86">
        <f t="shared" si="13"/>
        <v>569</v>
      </c>
      <c r="I81" s="86">
        <f t="shared" si="13"/>
        <v>759</v>
      </c>
      <c r="J81" s="86">
        <f t="shared" si="13"/>
        <v>707</v>
      </c>
      <c r="K81" s="86">
        <f t="shared" si="13"/>
        <v>683</v>
      </c>
      <c r="L81" s="86">
        <f t="shared" si="13"/>
        <v>547</v>
      </c>
      <c r="M81" s="86">
        <f t="shared" si="13"/>
        <v>559</v>
      </c>
      <c r="N81" s="86">
        <f>+N79+N65+N56</f>
        <v>551</v>
      </c>
      <c r="O81" s="86">
        <f t="shared" si="13"/>
        <v>511</v>
      </c>
      <c r="P81" s="86">
        <f t="shared" si="13"/>
        <v>387</v>
      </c>
      <c r="Q81" s="86">
        <f t="shared" si="13"/>
        <v>403</v>
      </c>
      <c r="R81" s="86">
        <f t="shared" si="13"/>
        <v>382</v>
      </c>
      <c r="S81" s="84"/>
      <c r="T81" s="37">
        <f t="shared" si="9"/>
        <v>7330</v>
      </c>
    </row>
    <row r="83" spans="1:20" ht="24.9" customHeight="1" x14ac:dyDescent="0.25">
      <c r="B83" s="21" t="s">
        <v>145</v>
      </c>
      <c r="C83" s="87">
        <f>C81</f>
        <v>49</v>
      </c>
      <c r="D83" s="87">
        <f t="shared" ref="D83:R83" si="14">D81</f>
        <v>133</v>
      </c>
      <c r="E83" s="87">
        <f t="shared" si="14"/>
        <v>242</v>
      </c>
      <c r="F83" s="87">
        <f t="shared" si="14"/>
        <v>363</v>
      </c>
      <c r="G83" s="88">
        <f>G81</f>
        <v>485</v>
      </c>
      <c r="H83" s="88">
        <f t="shared" si="14"/>
        <v>569</v>
      </c>
      <c r="I83" s="88">
        <f t="shared" si="14"/>
        <v>759</v>
      </c>
      <c r="J83" s="88">
        <f t="shared" si="14"/>
        <v>707</v>
      </c>
      <c r="K83" s="88">
        <f t="shared" si="14"/>
        <v>683</v>
      </c>
      <c r="L83" s="88">
        <f t="shared" si="14"/>
        <v>547</v>
      </c>
      <c r="M83" s="88">
        <f t="shared" si="14"/>
        <v>559</v>
      </c>
      <c r="N83" s="88">
        <f t="shared" si="14"/>
        <v>551</v>
      </c>
      <c r="O83" s="88">
        <f t="shared" si="14"/>
        <v>511</v>
      </c>
      <c r="P83" s="87">
        <f t="shared" si="14"/>
        <v>387</v>
      </c>
      <c r="Q83" s="87">
        <f t="shared" si="14"/>
        <v>403</v>
      </c>
      <c r="R83" s="87">
        <f t="shared" si="14"/>
        <v>382</v>
      </c>
    </row>
    <row r="84" spans="1:20" ht="24.9" customHeight="1" x14ac:dyDescent="0.25">
      <c r="B84" s="21" t="s">
        <v>146</v>
      </c>
      <c r="C84" s="89">
        <f>C83/2</f>
        <v>24.5</v>
      </c>
      <c r="D84" s="89">
        <f>D83/2</f>
        <v>66.5</v>
      </c>
      <c r="E84" s="89">
        <f t="shared" ref="E84:Q84" si="15">E83/2</f>
        <v>121</v>
      </c>
      <c r="F84" s="89">
        <f t="shared" si="15"/>
        <v>181.5</v>
      </c>
      <c r="G84" s="90">
        <f>G83/2</f>
        <v>242.5</v>
      </c>
      <c r="H84" s="90">
        <f t="shared" si="15"/>
        <v>284.5</v>
      </c>
      <c r="I84" s="90">
        <f t="shared" si="15"/>
        <v>379.5</v>
      </c>
      <c r="J84" s="90">
        <f t="shared" si="15"/>
        <v>353.5</v>
      </c>
      <c r="K84" s="90">
        <f t="shared" si="15"/>
        <v>341.5</v>
      </c>
      <c r="L84" s="90">
        <f t="shared" si="15"/>
        <v>273.5</v>
      </c>
      <c r="M84" s="90">
        <f t="shared" si="15"/>
        <v>279.5</v>
      </c>
      <c r="N84" s="90">
        <f>N83/2</f>
        <v>275.5</v>
      </c>
      <c r="O84" s="90">
        <f t="shared" si="15"/>
        <v>255.5</v>
      </c>
      <c r="P84" s="89">
        <f t="shared" si="15"/>
        <v>193.5</v>
      </c>
      <c r="Q84" s="89">
        <f t="shared" si="15"/>
        <v>201.5</v>
      </c>
      <c r="R84" s="89">
        <f>R83/2</f>
        <v>191</v>
      </c>
    </row>
    <row r="85" spans="1:20" ht="24.9" customHeight="1" x14ac:dyDescent="0.25">
      <c r="B85" s="21" t="s">
        <v>147</v>
      </c>
      <c r="C85" s="109">
        <f>C84/40</f>
        <v>0.61250000000000004</v>
      </c>
      <c r="D85" s="109">
        <f t="shared" ref="D85:R85" si="16">D84/40</f>
        <v>1.6625000000000001</v>
      </c>
      <c r="E85" s="109">
        <f t="shared" si="16"/>
        <v>3.0249999999999999</v>
      </c>
      <c r="F85" s="109">
        <f t="shared" si="16"/>
        <v>4.5374999999999996</v>
      </c>
      <c r="G85" s="110">
        <f t="shared" si="16"/>
        <v>6.0625</v>
      </c>
      <c r="H85" s="110">
        <f t="shared" si="16"/>
        <v>7.1124999999999998</v>
      </c>
      <c r="I85" s="110">
        <f t="shared" si="16"/>
        <v>9.4875000000000007</v>
      </c>
      <c r="J85" s="110">
        <f t="shared" si="16"/>
        <v>8.8375000000000004</v>
      </c>
      <c r="K85" s="110">
        <f t="shared" si="16"/>
        <v>8.5374999999999996</v>
      </c>
      <c r="L85" s="110">
        <f t="shared" si="16"/>
        <v>6.8375000000000004</v>
      </c>
      <c r="M85" s="110">
        <f t="shared" si="16"/>
        <v>6.9874999999999998</v>
      </c>
      <c r="N85" s="110">
        <f t="shared" si="16"/>
        <v>6.8875000000000002</v>
      </c>
      <c r="O85" s="110">
        <f t="shared" si="16"/>
        <v>6.3875000000000002</v>
      </c>
      <c r="P85" s="109">
        <f t="shared" si="16"/>
        <v>4.8375000000000004</v>
      </c>
      <c r="Q85" s="109">
        <f t="shared" si="16"/>
        <v>5.0374999999999996</v>
      </c>
      <c r="R85" s="109">
        <f t="shared" si="16"/>
        <v>4.7750000000000004</v>
      </c>
    </row>
    <row r="87" spans="1:20" ht="24.9" customHeight="1" x14ac:dyDescent="0.25">
      <c r="B87" s="21" t="s">
        <v>154</v>
      </c>
      <c r="C87" s="89">
        <f>C83/35</f>
        <v>1.4</v>
      </c>
      <c r="D87" s="89">
        <f t="shared" ref="D87:R87" si="17">D83/35</f>
        <v>3.8</v>
      </c>
      <c r="E87" s="89">
        <f t="shared" si="17"/>
        <v>6.9142857142857146</v>
      </c>
      <c r="F87" s="89">
        <f t="shared" si="17"/>
        <v>10.371428571428572</v>
      </c>
      <c r="G87" s="89">
        <f t="shared" si="17"/>
        <v>13.857142857142858</v>
      </c>
      <c r="H87" s="89">
        <f t="shared" si="17"/>
        <v>16.257142857142856</v>
      </c>
      <c r="I87" s="89">
        <f t="shared" si="17"/>
        <v>21.685714285714287</v>
      </c>
      <c r="J87" s="89">
        <f t="shared" si="17"/>
        <v>20.2</v>
      </c>
      <c r="K87" s="89">
        <f t="shared" si="17"/>
        <v>19.514285714285716</v>
      </c>
      <c r="L87" s="89">
        <f t="shared" si="17"/>
        <v>15.628571428571428</v>
      </c>
      <c r="M87" s="89">
        <f t="shared" si="17"/>
        <v>15.971428571428572</v>
      </c>
      <c r="N87" s="89">
        <f t="shared" si="17"/>
        <v>15.742857142857142</v>
      </c>
      <c r="O87" s="89">
        <f t="shared" si="17"/>
        <v>14.6</v>
      </c>
      <c r="P87" s="89">
        <f t="shared" si="17"/>
        <v>11.057142857142857</v>
      </c>
      <c r="Q87" s="89">
        <f t="shared" si="17"/>
        <v>11.514285714285714</v>
      </c>
      <c r="R87" s="89">
        <f t="shared" si="17"/>
        <v>10.914285714285715</v>
      </c>
    </row>
    <row r="88" spans="1:20" ht="24.9" customHeight="1" x14ac:dyDescent="0.25">
      <c r="B88" s="111" t="s">
        <v>302</v>
      </c>
      <c r="C88" s="113">
        <v>2</v>
      </c>
      <c r="D88" s="113">
        <v>4</v>
      </c>
      <c r="E88" s="113">
        <v>8</v>
      </c>
      <c r="F88" s="114">
        <v>11</v>
      </c>
      <c r="G88" s="114">
        <v>15</v>
      </c>
      <c r="H88" s="114">
        <v>17</v>
      </c>
      <c r="I88" s="114">
        <v>23</v>
      </c>
      <c r="J88" s="114">
        <v>21</v>
      </c>
      <c r="K88" s="114">
        <v>20</v>
      </c>
      <c r="L88" s="114">
        <v>16</v>
      </c>
      <c r="M88" s="114">
        <v>17</v>
      </c>
      <c r="N88" s="114">
        <v>16</v>
      </c>
      <c r="O88" s="114">
        <v>15</v>
      </c>
      <c r="P88" s="114">
        <v>12</v>
      </c>
      <c r="Q88" s="114">
        <v>12</v>
      </c>
      <c r="R88" s="114">
        <v>11</v>
      </c>
      <c r="S88" s="112">
        <f>SUM(C88:R88)*700*2*30</f>
        <v>9240000</v>
      </c>
    </row>
    <row r="91" spans="1:20" ht="24.9" customHeight="1" x14ac:dyDescent="0.25">
      <c r="B91" s="199" t="s">
        <v>304</v>
      </c>
      <c r="C91" s="197">
        <v>1</v>
      </c>
      <c r="D91" s="197">
        <v>1</v>
      </c>
      <c r="E91" s="197">
        <v>1</v>
      </c>
      <c r="F91" s="197">
        <v>1</v>
      </c>
      <c r="G91" s="197">
        <v>1</v>
      </c>
      <c r="H91" s="197">
        <v>1</v>
      </c>
      <c r="I91" s="197">
        <v>1</v>
      </c>
      <c r="J91" s="197">
        <v>1</v>
      </c>
      <c r="K91" s="197">
        <v>1</v>
      </c>
      <c r="L91" s="197">
        <v>1</v>
      </c>
      <c r="M91" s="197">
        <v>1</v>
      </c>
      <c r="N91" s="197">
        <v>1</v>
      </c>
      <c r="O91" s="197">
        <v>1</v>
      </c>
      <c r="P91" s="197">
        <v>1</v>
      </c>
      <c r="Q91" s="197">
        <v>1</v>
      </c>
      <c r="R91" s="197">
        <v>1</v>
      </c>
      <c r="S91" s="196">
        <f>SUM(C91:R91)*130000</f>
        <v>2080000</v>
      </c>
    </row>
    <row r="92" spans="1:20" ht="24.9" customHeight="1" x14ac:dyDescent="0.25">
      <c r="B92" s="199" t="s">
        <v>303</v>
      </c>
      <c r="C92" s="197">
        <v>1</v>
      </c>
      <c r="D92" s="197">
        <v>2</v>
      </c>
      <c r="E92" s="197">
        <v>3</v>
      </c>
      <c r="F92" s="197">
        <v>5</v>
      </c>
      <c r="G92" s="197">
        <v>6</v>
      </c>
      <c r="H92" s="197">
        <v>6</v>
      </c>
      <c r="I92" s="197">
        <v>6</v>
      </c>
      <c r="J92" s="197">
        <v>6</v>
      </c>
      <c r="K92" s="197">
        <v>6</v>
      </c>
      <c r="L92" s="197">
        <v>6</v>
      </c>
      <c r="M92" s="197">
        <v>6</v>
      </c>
      <c r="N92" s="197">
        <v>6</v>
      </c>
      <c r="O92" s="197">
        <v>6</v>
      </c>
      <c r="P92" s="197">
        <v>6</v>
      </c>
      <c r="Q92" s="197">
        <v>6</v>
      </c>
      <c r="R92" s="197">
        <v>6</v>
      </c>
      <c r="S92" s="198"/>
    </row>
    <row r="93" spans="1:20" ht="24.9" customHeight="1" x14ac:dyDescent="0.25">
      <c r="B93" s="199" t="s">
        <v>305</v>
      </c>
      <c r="C93" s="197">
        <v>2</v>
      </c>
      <c r="D93" s="197">
        <v>4</v>
      </c>
      <c r="E93" s="197">
        <v>8</v>
      </c>
      <c r="F93" s="197">
        <v>11</v>
      </c>
      <c r="G93" s="197">
        <v>15</v>
      </c>
      <c r="H93" s="197">
        <v>15</v>
      </c>
      <c r="I93" s="197">
        <v>15</v>
      </c>
      <c r="J93" s="197">
        <v>15</v>
      </c>
      <c r="K93" s="197">
        <v>15</v>
      </c>
      <c r="L93" s="197">
        <v>15</v>
      </c>
      <c r="M93" s="197">
        <v>15</v>
      </c>
      <c r="N93" s="197">
        <v>15</v>
      </c>
      <c r="O93" s="197">
        <v>15</v>
      </c>
      <c r="P93" s="197">
        <v>12</v>
      </c>
      <c r="Q93" s="197">
        <v>12</v>
      </c>
      <c r="R93" s="197">
        <v>11</v>
      </c>
      <c r="S93" s="196">
        <f>SUM(C93:R93)*350*2*30</f>
        <v>4095000</v>
      </c>
    </row>
    <row r="94" spans="1:20" ht="24.9" customHeight="1" x14ac:dyDescent="0.25">
      <c r="B94" s="199" t="s">
        <v>306</v>
      </c>
      <c r="C94" s="197"/>
      <c r="D94" s="197"/>
      <c r="E94" s="197"/>
      <c r="F94" s="197"/>
      <c r="G94" s="197"/>
      <c r="H94" s="197">
        <v>2</v>
      </c>
      <c r="I94" s="197">
        <v>8</v>
      </c>
      <c r="J94" s="197">
        <v>6</v>
      </c>
      <c r="K94" s="197">
        <v>5</v>
      </c>
      <c r="L94" s="197">
        <v>1</v>
      </c>
      <c r="M94" s="197">
        <v>2</v>
      </c>
      <c r="N94" s="197">
        <v>1</v>
      </c>
      <c r="O94" s="197"/>
      <c r="P94" s="197"/>
      <c r="Q94" s="197"/>
      <c r="R94" s="197"/>
      <c r="S94" s="196">
        <f>SUM(C94:R94)*350*2*30</f>
        <v>525000</v>
      </c>
    </row>
    <row r="96" spans="1:20" ht="24.9" customHeight="1" x14ac:dyDescent="0.25">
      <c r="B96" s="199" t="s">
        <v>158</v>
      </c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6">
        <f>SUM(S91:S95)</f>
        <v>6700000</v>
      </c>
    </row>
    <row r="98" spans="2:19" ht="24.9" customHeight="1" x14ac:dyDescent="0.25">
      <c r="B98" s="21" t="s">
        <v>307</v>
      </c>
      <c r="S98" s="200">
        <f>S88-S96</f>
        <v>2540000</v>
      </c>
    </row>
    <row r="99" spans="2:19" ht="24.9" customHeight="1" x14ac:dyDescent="0.25">
      <c r="B99" s="21" t="s">
        <v>308</v>
      </c>
    </row>
    <row r="100" spans="2:19" ht="24.9" customHeight="1" x14ac:dyDescent="0.25">
      <c r="B100" s="21" t="s">
        <v>309</v>
      </c>
    </row>
    <row r="101" spans="2:19" ht="24.9" customHeight="1" x14ac:dyDescent="0.25">
      <c r="B101" s="21" t="s">
        <v>310</v>
      </c>
    </row>
  </sheetData>
  <mergeCells count="6">
    <mergeCell ref="A1:R1"/>
    <mergeCell ref="A2:S2"/>
    <mergeCell ref="A3:S3"/>
    <mergeCell ref="A5:A6"/>
    <mergeCell ref="B5:B6"/>
    <mergeCell ref="C5:R5"/>
  </mergeCells>
  <printOptions horizontalCentered="1"/>
  <pageMargins left="0.31496062992125984" right="0.31496062992125984" top="0.55118110236220474" bottom="0.35433070866141736" header="0.31496062992125984" footer="0.31496062992125984"/>
  <pageSetup paperSize="9" scale="8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F651-7BEC-443F-8A6C-98EA7E7B3BFE}">
  <sheetPr>
    <tabColor rgb="FF92D050"/>
    <pageSetUpPr fitToPage="1"/>
  </sheetPr>
  <dimension ref="B2:P91"/>
  <sheetViews>
    <sheetView zoomScale="80" zoomScaleNormal="80" workbookViewId="0">
      <selection activeCell="E19" sqref="E19"/>
    </sheetView>
  </sheetViews>
  <sheetFormatPr defaultColWidth="8.69921875" defaultRowHeight="19.8" x14ac:dyDescent="0.5"/>
  <cols>
    <col min="1" max="1" width="2.59765625" style="115" customWidth="1"/>
    <col min="2" max="2" width="8.69921875" style="195"/>
    <col min="3" max="3" width="20.69921875" style="195" customWidth="1"/>
    <col min="4" max="4" width="8.69921875" style="195"/>
    <col min="5" max="5" width="61" style="195" customWidth="1"/>
    <col min="6" max="12" width="8.69921875" style="195"/>
    <col min="13" max="16" width="10.69921875" style="195" customWidth="1"/>
    <col min="17" max="16384" width="8.69921875" style="115"/>
  </cols>
  <sheetData>
    <row r="2" spans="2:16" ht="26.4" x14ac:dyDescent="0.5">
      <c r="B2" s="256" t="s">
        <v>301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</row>
    <row r="3" spans="2:16" ht="20.399999999999999" x14ac:dyDescent="0.5">
      <c r="B3" s="257" t="s">
        <v>155</v>
      </c>
      <c r="C3" s="258"/>
      <c r="D3" s="257" t="s">
        <v>156</v>
      </c>
      <c r="E3" s="258"/>
      <c r="F3" s="257" t="s">
        <v>157</v>
      </c>
      <c r="G3" s="263"/>
      <c r="H3" s="263"/>
      <c r="I3" s="263"/>
      <c r="J3" s="263"/>
      <c r="K3" s="263"/>
      <c r="L3" s="264"/>
      <c r="M3" s="267" t="s">
        <v>158</v>
      </c>
      <c r="N3" s="267"/>
      <c r="O3" s="268"/>
      <c r="P3" s="268"/>
    </row>
    <row r="4" spans="2:16" ht="20.399999999999999" x14ac:dyDescent="0.5">
      <c r="B4" s="259"/>
      <c r="C4" s="260"/>
      <c r="D4" s="259"/>
      <c r="E4" s="260"/>
      <c r="F4" s="261"/>
      <c r="G4" s="265"/>
      <c r="H4" s="265"/>
      <c r="I4" s="265"/>
      <c r="J4" s="265"/>
      <c r="K4" s="265"/>
      <c r="L4" s="266"/>
      <c r="M4" s="269" t="s">
        <v>156</v>
      </c>
      <c r="N4" s="267"/>
      <c r="O4" s="270" t="s">
        <v>155</v>
      </c>
      <c r="P4" s="267"/>
    </row>
    <row r="5" spans="2:16" ht="20.399999999999999" x14ac:dyDescent="0.5">
      <c r="B5" s="261"/>
      <c r="C5" s="262"/>
      <c r="D5" s="261"/>
      <c r="E5" s="262"/>
      <c r="F5" s="117" t="s">
        <v>70</v>
      </c>
      <c r="G5" s="117" t="s">
        <v>122</v>
      </c>
      <c r="H5" s="117" t="s">
        <v>130</v>
      </c>
      <c r="I5" s="117" t="s">
        <v>159</v>
      </c>
      <c r="J5" s="117" t="s">
        <v>160</v>
      </c>
      <c r="K5" s="117" t="s">
        <v>161</v>
      </c>
      <c r="L5" s="118" t="s">
        <v>162</v>
      </c>
      <c r="M5" s="116" t="s">
        <v>163</v>
      </c>
      <c r="N5" s="116" t="s">
        <v>164</v>
      </c>
      <c r="O5" s="117" t="s">
        <v>163</v>
      </c>
      <c r="P5" s="117" t="s">
        <v>164</v>
      </c>
    </row>
    <row r="6" spans="2:16" ht="20.399999999999999" x14ac:dyDescent="0.5">
      <c r="B6" s="239" t="s">
        <v>70</v>
      </c>
      <c r="C6" s="239" t="s">
        <v>165</v>
      </c>
      <c r="D6" s="119" t="s">
        <v>166</v>
      </c>
      <c r="E6" s="120" t="s">
        <v>167</v>
      </c>
      <c r="F6" s="121"/>
      <c r="G6" s="121"/>
      <c r="H6" s="121"/>
      <c r="I6" s="121"/>
      <c r="J6" s="121"/>
      <c r="K6" s="121"/>
      <c r="L6" s="122">
        <v>3</v>
      </c>
      <c r="M6" s="123">
        <f t="shared" ref="M6:M69" si="0">SUM(F6:L6)</f>
        <v>3</v>
      </c>
      <c r="N6" s="124">
        <f t="shared" ref="N6:N69" si="1">M6/$M$91</f>
        <v>0.15789473684210525</v>
      </c>
      <c r="O6" s="241">
        <f>SUM(M6:M13)</f>
        <v>5</v>
      </c>
      <c r="P6" s="243">
        <f>O6/O91</f>
        <v>0.26315789473684209</v>
      </c>
    </row>
    <row r="7" spans="2:16" ht="20.399999999999999" x14ac:dyDescent="0.5">
      <c r="B7" s="246"/>
      <c r="C7" s="246"/>
      <c r="D7" s="125" t="s">
        <v>168</v>
      </c>
      <c r="E7" s="126" t="s">
        <v>169</v>
      </c>
      <c r="F7" s="127"/>
      <c r="G7" s="127"/>
      <c r="H7" s="127"/>
      <c r="I7" s="127"/>
      <c r="J7" s="127"/>
      <c r="K7" s="127"/>
      <c r="L7" s="128"/>
      <c r="M7" s="129">
        <f t="shared" si="0"/>
        <v>0</v>
      </c>
      <c r="N7" s="130">
        <f t="shared" si="1"/>
        <v>0</v>
      </c>
      <c r="O7" s="248"/>
      <c r="P7" s="250"/>
    </row>
    <row r="8" spans="2:16" ht="20.399999999999999" x14ac:dyDescent="0.5">
      <c r="B8" s="246"/>
      <c r="C8" s="246"/>
      <c r="D8" s="125" t="s">
        <v>170</v>
      </c>
      <c r="E8" s="126" t="s">
        <v>171</v>
      </c>
      <c r="F8" s="127"/>
      <c r="G8" s="127"/>
      <c r="H8" s="127"/>
      <c r="I8" s="127"/>
      <c r="J8" s="127"/>
      <c r="K8" s="127"/>
      <c r="L8" s="128">
        <v>1</v>
      </c>
      <c r="M8" s="129">
        <f t="shared" si="0"/>
        <v>1</v>
      </c>
      <c r="N8" s="130">
        <f t="shared" si="1"/>
        <v>5.2631578947368418E-2</v>
      </c>
      <c r="O8" s="248"/>
      <c r="P8" s="250"/>
    </row>
    <row r="9" spans="2:16" ht="20.399999999999999" x14ac:dyDescent="0.5">
      <c r="B9" s="246"/>
      <c r="C9" s="246"/>
      <c r="D9" s="125" t="s">
        <v>172</v>
      </c>
      <c r="E9" s="126" t="s">
        <v>173</v>
      </c>
      <c r="F9" s="127"/>
      <c r="G9" s="127"/>
      <c r="H9" s="127"/>
      <c r="I9" s="127"/>
      <c r="J9" s="127"/>
      <c r="K9" s="127"/>
      <c r="L9" s="128">
        <v>1</v>
      </c>
      <c r="M9" s="129">
        <f t="shared" si="0"/>
        <v>1</v>
      </c>
      <c r="N9" s="130">
        <f t="shared" si="1"/>
        <v>5.2631578947368418E-2</v>
      </c>
      <c r="O9" s="248"/>
      <c r="P9" s="250"/>
    </row>
    <row r="10" spans="2:16" ht="20.399999999999999" x14ac:dyDescent="0.5">
      <c r="B10" s="246"/>
      <c r="C10" s="246"/>
      <c r="D10" s="125" t="s">
        <v>174</v>
      </c>
      <c r="E10" s="126" t="s">
        <v>175</v>
      </c>
      <c r="F10" s="127"/>
      <c r="G10" s="127"/>
      <c r="H10" s="127"/>
      <c r="I10" s="127"/>
      <c r="J10" s="127"/>
      <c r="K10" s="127"/>
      <c r="L10" s="128"/>
      <c r="M10" s="129">
        <f t="shared" si="0"/>
        <v>0</v>
      </c>
      <c r="N10" s="130">
        <f t="shared" si="1"/>
        <v>0</v>
      </c>
      <c r="O10" s="248"/>
      <c r="P10" s="250"/>
    </row>
    <row r="11" spans="2:16" ht="20.399999999999999" x14ac:dyDescent="0.5">
      <c r="B11" s="246"/>
      <c r="C11" s="246"/>
      <c r="D11" s="131"/>
      <c r="E11" s="132" t="s">
        <v>176</v>
      </c>
      <c r="F11" s="133"/>
      <c r="G11" s="127"/>
      <c r="H11" s="127"/>
      <c r="I11" s="127"/>
      <c r="J11" s="127"/>
      <c r="K11" s="127"/>
      <c r="L11" s="128"/>
      <c r="M11" s="129">
        <f t="shared" si="0"/>
        <v>0</v>
      </c>
      <c r="N11" s="130">
        <f t="shared" si="1"/>
        <v>0</v>
      </c>
      <c r="O11" s="248"/>
      <c r="P11" s="250"/>
    </row>
    <row r="12" spans="2:16" ht="20.399999999999999" x14ac:dyDescent="0.5">
      <c r="B12" s="246"/>
      <c r="C12" s="246"/>
      <c r="D12" s="131"/>
      <c r="E12" s="132" t="s">
        <v>177</v>
      </c>
      <c r="F12" s="134"/>
      <c r="G12" s="135"/>
      <c r="H12" s="135"/>
      <c r="I12" s="135"/>
      <c r="J12" s="135"/>
      <c r="K12" s="135"/>
      <c r="L12" s="136"/>
      <c r="M12" s="129">
        <f t="shared" si="0"/>
        <v>0</v>
      </c>
      <c r="N12" s="130">
        <f t="shared" si="1"/>
        <v>0</v>
      </c>
      <c r="O12" s="254"/>
      <c r="P12" s="255"/>
    </row>
    <row r="13" spans="2:16" ht="20.399999999999999" x14ac:dyDescent="0.5">
      <c r="B13" s="240"/>
      <c r="C13" s="240"/>
      <c r="D13" s="131"/>
      <c r="E13" s="138" t="s">
        <v>178</v>
      </c>
      <c r="F13" s="139"/>
      <c r="G13" s="140"/>
      <c r="H13" s="140"/>
      <c r="I13" s="140"/>
      <c r="J13" s="140"/>
      <c r="K13" s="140"/>
      <c r="L13" s="141"/>
      <c r="M13" s="142">
        <f t="shared" si="0"/>
        <v>0</v>
      </c>
      <c r="N13" s="143">
        <f t="shared" si="1"/>
        <v>0</v>
      </c>
      <c r="O13" s="242"/>
      <c r="P13" s="244"/>
    </row>
    <row r="14" spans="2:16" ht="20.399999999999999" x14ac:dyDescent="0.5">
      <c r="B14" s="239" t="s">
        <v>122</v>
      </c>
      <c r="C14" s="239" t="s">
        <v>179</v>
      </c>
      <c r="D14" s="144" t="s">
        <v>180</v>
      </c>
      <c r="E14" s="145" t="s">
        <v>181</v>
      </c>
      <c r="F14" s="146"/>
      <c r="G14" s="121"/>
      <c r="H14" s="121"/>
      <c r="I14" s="121"/>
      <c r="J14" s="121"/>
      <c r="K14" s="121"/>
      <c r="L14" s="122"/>
      <c r="M14" s="123">
        <f t="shared" si="0"/>
        <v>0</v>
      </c>
      <c r="N14" s="124">
        <f t="shared" si="1"/>
        <v>0</v>
      </c>
      <c r="O14" s="241">
        <f>SUM(M14:M40)</f>
        <v>10</v>
      </c>
      <c r="P14" s="243">
        <f>O14/O91</f>
        <v>0.52631578947368418</v>
      </c>
    </row>
    <row r="15" spans="2:16" x14ac:dyDescent="0.5">
      <c r="B15" s="246"/>
      <c r="C15" s="246"/>
      <c r="D15" s="147"/>
      <c r="E15" s="148" t="s">
        <v>182</v>
      </c>
      <c r="F15" s="149"/>
      <c r="G15" s="150"/>
      <c r="H15" s="150"/>
      <c r="I15" s="150"/>
      <c r="J15" s="150"/>
      <c r="K15" s="150"/>
      <c r="L15" s="151"/>
      <c r="M15" s="129">
        <f t="shared" si="0"/>
        <v>0</v>
      </c>
      <c r="N15" s="130">
        <f t="shared" si="1"/>
        <v>0</v>
      </c>
      <c r="O15" s="247"/>
      <c r="P15" s="249"/>
    </row>
    <row r="16" spans="2:16" x14ac:dyDescent="0.5">
      <c r="B16" s="246"/>
      <c r="C16" s="246"/>
      <c r="D16" s="152"/>
      <c r="E16" s="153" t="s">
        <v>183</v>
      </c>
      <c r="F16" s="133"/>
      <c r="G16" s="150"/>
      <c r="H16" s="150"/>
      <c r="I16" s="150"/>
      <c r="J16" s="150"/>
      <c r="K16" s="150"/>
      <c r="L16" s="151"/>
      <c r="M16" s="129">
        <f t="shared" si="0"/>
        <v>0</v>
      </c>
      <c r="N16" s="130">
        <f t="shared" si="1"/>
        <v>0</v>
      </c>
      <c r="O16" s="247"/>
      <c r="P16" s="249"/>
    </row>
    <row r="17" spans="2:16" ht="20.399999999999999" x14ac:dyDescent="0.5">
      <c r="B17" s="246"/>
      <c r="C17" s="246"/>
      <c r="D17" s="154" t="s">
        <v>184</v>
      </c>
      <c r="E17" s="155" t="s">
        <v>185</v>
      </c>
      <c r="F17" s="133"/>
      <c r="G17" s="150"/>
      <c r="H17" s="150"/>
      <c r="I17" s="150"/>
      <c r="J17" s="150"/>
      <c r="K17" s="150"/>
      <c r="L17" s="151"/>
      <c r="M17" s="129">
        <f t="shared" si="0"/>
        <v>0</v>
      </c>
      <c r="N17" s="130">
        <f t="shared" si="1"/>
        <v>0</v>
      </c>
      <c r="O17" s="247"/>
      <c r="P17" s="249"/>
    </row>
    <row r="18" spans="2:16" x14ac:dyDescent="0.5">
      <c r="B18" s="246"/>
      <c r="C18" s="246"/>
      <c r="D18" s="156"/>
      <c r="E18" s="148" t="s">
        <v>186</v>
      </c>
      <c r="F18" s="149"/>
      <c r="G18" s="150"/>
      <c r="H18" s="150"/>
      <c r="I18" s="150"/>
      <c r="J18" s="150"/>
      <c r="K18" s="150"/>
      <c r="L18" s="151">
        <v>10</v>
      </c>
      <c r="M18" s="129">
        <f t="shared" si="0"/>
        <v>10</v>
      </c>
      <c r="N18" s="130">
        <f t="shared" si="1"/>
        <v>0.52631578947368418</v>
      </c>
      <c r="O18" s="247"/>
      <c r="P18" s="249"/>
    </row>
    <row r="19" spans="2:16" x14ac:dyDescent="0.5">
      <c r="B19" s="246"/>
      <c r="C19" s="246"/>
      <c r="D19" s="147"/>
      <c r="E19" s="148" t="s">
        <v>187</v>
      </c>
      <c r="F19" s="149"/>
      <c r="G19" s="150"/>
      <c r="H19" s="150"/>
      <c r="I19" s="150"/>
      <c r="J19" s="150"/>
      <c r="K19" s="150"/>
      <c r="L19" s="151"/>
      <c r="M19" s="129">
        <f t="shared" si="0"/>
        <v>0</v>
      </c>
      <c r="N19" s="130">
        <f t="shared" si="1"/>
        <v>0</v>
      </c>
      <c r="O19" s="247"/>
      <c r="P19" s="249"/>
    </row>
    <row r="20" spans="2:16" x14ac:dyDescent="0.5">
      <c r="B20" s="246"/>
      <c r="C20" s="246"/>
      <c r="D20" s="147"/>
      <c r="E20" s="148" t="s">
        <v>188</v>
      </c>
      <c r="F20" s="149"/>
      <c r="G20" s="150"/>
      <c r="H20" s="150"/>
      <c r="I20" s="150"/>
      <c r="J20" s="150"/>
      <c r="K20" s="150"/>
      <c r="L20" s="151"/>
      <c r="M20" s="129">
        <f t="shared" si="0"/>
        <v>0</v>
      </c>
      <c r="N20" s="130">
        <f t="shared" si="1"/>
        <v>0</v>
      </c>
      <c r="O20" s="247"/>
      <c r="P20" s="249"/>
    </row>
    <row r="21" spans="2:16" x14ac:dyDescent="0.5">
      <c r="B21" s="246"/>
      <c r="C21" s="246"/>
      <c r="D21" s="147"/>
      <c r="E21" s="148" t="s">
        <v>189</v>
      </c>
      <c r="F21" s="149"/>
      <c r="G21" s="150"/>
      <c r="H21" s="150"/>
      <c r="I21" s="150"/>
      <c r="J21" s="150"/>
      <c r="K21" s="150"/>
      <c r="L21" s="151"/>
      <c r="M21" s="129">
        <f t="shared" si="0"/>
        <v>0</v>
      </c>
      <c r="N21" s="130">
        <f t="shared" si="1"/>
        <v>0</v>
      </c>
      <c r="O21" s="247"/>
      <c r="P21" s="249"/>
    </row>
    <row r="22" spans="2:16" x14ac:dyDescent="0.5">
      <c r="B22" s="246"/>
      <c r="C22" s="246"/>
      <c r="D22" s="147"/>
      <c r="E22" s="148" t="s">
        <v>190</v>
      </c>
      <c r="F22" s="149"/>
      <c r="G22" s="150"/>
      <c r="H22" s="150"/>
      <c r="I22" s="150"/>
      <c r="J22" s="150"/>
      <c r="K22" s="150"/>
      <c r="L22" s="151"/>
      <c r="M22" s="129">
        <f t="shared" si="0"/>
        <v>0</v>
      </c>
      <c r="N22" s="130">
        <f t="shared" si="1"/>
        <v>0</v>
      </c>
      <c r="O22" s="247"/>
      <c r="P22" s="249"/>
    </row>
    <row r="23" spans="2:16" x14ac:dyDescent="0.5">
      <c r="B23" s="246"/>
      <c r="C23" s="246"/>
      <c r="D23" s="147"/>
      <c r="E23" s="148" t="s">
        <v>191</v>
      </c>
      <c r="F23" s="149"/>
      <c r="G23" s="150"/>
      <c r="H23" s="150"/>
      <c r="I23" s="150"/>
      <c r="J23" s="150"/>
      <c r="K23" s="150"/>
      <c r="L23" s="151"/>
      <c r="M23" s="129">
        <f t="shared" si="0"/>
        <v>0</v>
      </c>
      <c r="N23" s="130">
        <f t="shared" si="1"/>
        <v>0</v>
      </c>
      <c r="O23" s="247"/>
      <c r="P23" s="249"/>
    </row>
    <row r="24" spans="2:16" x14ac:dyDescent="0.5">
      <c r="B24" s="246"/>
      <c r="C24" s="246"/>
      <c r="D24" s="147"/>
      <c r="E24" s="148" t="s">
        <v>192</v>
      </c>
      <c r="F24" s="149"/>
      <c r="G24" s="150"/>
      <c r="H24" s="150"/>
      <c r="I24" s="150"/>
      <c r="J24" s="150"/>
      <c r="K24" s="150"/>
      <c r="L24" s="151"/>
      <c r="M24" s="129">
        <f t="shared" si="0"/>
        <v>0</v>
      </c>
      <c r="N24" s="130">
        <f t="shared" si="1"/>
        <v>0</v>
      </c>
      <c r="O24" s="247"/>
      <c r="P24" s="249"/>
    </row>
    <row r="25" spans="2:16" x14ac:dyDescent="0.5">
      <c r="B25" s="246"/>
      <c r="C25" s="246"/>
      <c r="D25" s="147"/>
      <c r="E25" s="148" t="s">
        <v>193</v>
      </c>
      <c r="F25" s="149"/>
      <c r="G25" s="150"/>
      <c r="H25" s="150"/>
      <c r="I25" s="150"/>
      <c r="J25" s="150"/>
      <c r="K25" s="150"/>
      <c r="L25" s="151"/>
      <c r="M25" s="129">
        <f t="shared" si="0"/>
        <v>0</v>
      </c>
      <c r="N25" s="130">
        <f t="shared" si="1"/>
        <v>0</v>
      </c>
      <c r="O25" s="247"/>
      <c r="P25" s="249"/>
    </row>
    <row r="26" spans="2:16" x14ac:dyDescent="0.5">
      <c r="B26" s="246"/>
      <c r="C26" s="246"/>
      <c r="D26" s="147"/>
      <c r="E26" s="148" t="s">
        <v>194</v>
      </c>
      <c r="F26" s="149"/>
      <c r="G26" s="150"/>
      <c r="H26" s="150"/>
      <c r="I26" s="150"/>
      <c r="J26" s="150"/>
      <c r="K26" s="150"/>
      <c r="L26" s="151"/>
      <c r="M26" s="129">
        <f t="shared" si="0"/>
        <v>0</v>
      </c>
      <c r="N26" s="130">
        <f t="shared" si="1"/>
        <v>0</v>
      </c>
      <c r="O26" s="247"/>
      <c r="P26" s="249"/>
    </row>
    <row r="27" spans="2:16" ht="20.399999999999999" x14ac:dyDescent="0.5">
      <c r="B27" s="246"/>
      <c r="C27" s="246"/>
      <c r="D27" s="154" t="s">
        <v>195</v>
      </c>
      <c r="E27" s="155" t="s">
        <v>196</v>
      </c>
      <c r="F27" s="149"/>
      <c r="G27" s="150"/>
      <c r="H27" s="150"/>
      <c r="I27" s="150"/>
      <c r="J27" s="150"/>
      <c r="K27" s="150"/>
      <c r="L27" s="151"/>
      <c r="M27" s="129">
        <f t="shared" si="0"/>
        <v>0</v>
      </c>
      <c r="N27" s="130">
        <f t="shared" si="1"/>
        <v>0</v>
      </c>
      <c r="O27" s="247"/>
      <c r="P27" s="249"/>
    </row>
    <row r="28" spans="2:16" x14ac:dyDescent="0.5">
      <c r="B28" s="246"/>
      <c r="C28" s="246"/>
      <c r="D28" s="156"/>
      <c r="E28" s="148" t="s">
        <v>197</v>
      </c>
      <c r="F28" s="149"/>
      <c r="G28" s="150"/>
      <c r="H28" s="150"/>
      <c r="I28" s="150"/>
      <c r="J28" s="150"/>
      <c r="K28" s="150"/>
      <c r="L28" s="151"/>
      <c r="M28" s="129">
        <f t="shared" si="0"/>
        <v>0</v>
      </c>
      <c r="N28" s="130">
        <f t="shared" si="1"/>
        <v>0</v>
      </c>
      <c r="O28" s="247"/>
      <c r="P28" s="249"/>
    </row>
    <row r="29" spans="2:16" x14ac:dyDescent="0.5">
      <c r="B29" s="246"/>
      <c r="C29" s="246"/>
      <c r="D29" s="156"/>
      <c r="E29" s="148" t="s">
        <v>198</v>
      </c>
      <c r="F29" s="149"/>
      <c r="G29" s="150"/>
      <c r="H29" s="150"/>
      <c r="I29" s="150"/>
      <c r="J29" s="150"/>
      <c r="K29" s="150"/>
      <c r="L29" s="151"/>
      <c r="M29" s="129">
        <f t="shared" si="0"/>
        <v>0</v>
      </c>
      <c r="N29" s="130">
        <f t="shared" si="1"/>
        <v>0</v>
      </c>
      <c r="O29" s="247"/>
      <c r="P29" s="249"/>
    </row>
    <row r="30" spans="2:16" ht="20.399999999999999" x14ac:dyDescent="0.5">
      <c r="B30" s="246"/>
      <c r="C30" s="246"/>
      <c r="D30" s="154" t="s">
        <v>199</v>
      </c>
      <c r="E30" s="155" t="s">
        <v>200</v>
      </c>
      <c r="F30" s="149"/>
      <c r="G30" s="150"/>
      <c r="H30" s="150"/>
      <c r="I30" s="150"/>
      <c r="J30" s="150"/>
      <c r="K30" s="150"/>
      <c r="L30" s="151"/>
      <c r="M30" s="129">
        <f t="shared" si="0"/>
        <v>0</v>
      </c>
      <c r="N30" s="130">
        <f t="shared" si="1"/>
        <v>0</v>
      </c>
      <c r="O30" s="247"/>
      <c r="P30" s="249"/>
    </row>
    <row r="31" spans="2:16" ht="20.399999999999999" x14ac:dyDescent="0.5">
      <c r="B31" s="246"/>
      <c r="C31" s="246"/>
      <c r="D31" s="154" t="s">
        <v>201</v>
      </c>
      <c r="E31" s="155" t="s">
        <v>202</v>
      </c>
      <c r="F31" s="149"/>
      <c r="G31" s="150"/>
      <c r="H31" s="150"/>
      <c r="I31" s="150"/>
      <c r="J31" s="150"/>
      <c r="K31" s="150"/>
      <c r="L31" s="151"/>
      <c r="M31" s="129">
        <f t="shared" si="0"/>
        <v>0</v>
      </c>
      <c r="N31" s="130">
        <f t="shared" si="1"/>
        <v>0</v>
      </c>
      <c r="O31" s="247"/>
      <c r="P31" s="249"/>
    </row>
    <row r="32" spans="2:16" x14ac:dyDescent="0.5">
      <c r="B32" s="246"/>
      <c r="C32" s="246"/>
      <c r="D32" s="156"/>
      <c r="E32" s="148" t="s">
        <v>203</v>
      </c>
      <c r="F32" s="149"/>
      <c r="G32" s="150"/>
      <c r="H32" s="150"/>
      <c r="I32" s="150"/>
      <c r="J32" s="150"/>
      <c r="K32" s="150"/>
      <c r="L32" s="151"/>
      <c r="M32" s="129">
        <f t="shared" si="0"/>
        <v>0</v>
      </c>
      <c r="N32" s="130">
        <f t="shared" si="1"/>
        <v>0</v>
      </c>
      <c r="O32" s="247"/>
      <c r="P32" s="249"/>
    </row>
    <row r="33" spans="2:16" x14ac:dyDescent="0.5">
      <c r="B33" s="246"/>
      <c r="C33" s="246"/>
      <c r="D33" s="156"/>
      <c r="E33" s="148" t="s">
        <v>204</v>
      </c>
      <c r="F33" s="149"/>
      <c r="G33" s="150"/>
      <c r="H33" s="150"/>
      <c r="I33" s="150"/>
      <c r="J33" s="150"/>
      <c r="K33" s="150"/>
      <c r="L33" s="151"/>
      <c r="M33" s="129">
        <f t="shared" si="0"/>
        <v>0</v>
      </c>
      <c r="N33" s="130">
        <f t="shared" si="1"/>
        <v>0</v>
      </c>
      <c r="O33" s="247"/>
      <c r="P33" s="249"/>
    </row>
    <row r="34" spans="2:16" x14ac:dyDescent="0.5">
      <c r="B34" s="246"/>
      <c r="C34" s="246"/>
      <c r="D34" s="156"/>
      <c r="E34" s="148" t="s">
        <v>205</v>
      </c>
      <c r="F34" s="149"/>
      <c r="G34" s="150"/>
      <c r="H34" s="150"/>
      <c r="I34" s="150"/>
      <c r="J34" s="150"/>
      <c r="K34" s="150"/>
      <c r="L34" s="151"/>
      <c r="M34" s="129">
        <f t="shared" si="0"/>
        <v>0</v>
      </c>
      <c r="N34" s="130">
        <f t="shared" si="1"/>
        <v>0</v>
      </c>
      <c r="O34" s="247"/>
      <c r="P34" s="249"/>
    </row>
    <row r="35" spans="2:16" ht="20.399999999999999" x14ac:dyDescent="0.5">
      <c r="B35" s="246"/>
      <c r="C35" s="246"/>
      <c r="D35" s="154" t="s">
        <v>206</v>
      </c>
      <c r="E35" s="155" t="s">
        <v>207</v>
      </c>
      <c r="F35" s="149"/>
      <c r="G35" s="150"/>
      <c r="H35" s="150"/>
      <c r="I35" s="150"/>
      <c r="J35" s="150"/>
      <c r="K35" s="150"/>
      <c r="L35" s="151"/>
      <c r="M35" s="129">
        <f t="shared" si="0"/>
        <v>0</v>
      </c>
      <c r="N35" s="130">
        <f t="shared" si="1"/>
        <v>0</v>
      </c>
      <c r="O35" s="247"/>
      <c r="P35" s="249"/>
    </row>
    <row r="36" spans="2:16" x14ac:dyDescent="0.5">
      <c r="B36" s="246"/>
      <c r="C36" s="246"/>
      <c r="D36" s="156"/>
      <c r="E36" s="148" t="s">
        <v>208</v>
      </c>
      <c r="F36" s="149"/>
      <c r="G36" s="150"/>
      <c r="H36" s="150"/>
      <c r="I36" s="150"/>
      <c r="J36" s="150"/>
      <c r="K36" s="150"/>
      <c r="L36" s="151"/>
      <c r="M36" s="129">
        <f t="shared" si="0"/>
        <v>0</v>
      </c>
      <c r="N36" s="130">
        <f t="shared" si="1"/>
        <v>0</v>
      </c>
      <c r="O36" s="247"/>
      <c r="P36" s="249"/>
    </row>
    <row r="37" spans="2:16" x14ac:dyDescent="0.5">
      <c r="B37" s="246"/>
      <c r="C37" s="246"/>
      <c r="D37" s="156"/>
      <c r="E37" s="148" t="s">
        <v>209</v>
      </c>
      <c r="F37" s="149"/>
      <c r="G37" s="150"/>
      <c r="H37" s="150"/>
      <c r="I37" s="150"/>
      <c r="J37" s="150"/>
      <c r="K37" s="150"/>
      <c r="L37" s="151"/>
      <c r="M37" s="129">
        <f t="shared" si="0"/>
        <v>0</v>
      </c>
      <c r="N37" s="130">
        <f t="shared" si="1"/>
        <v>0</v>
      </c>
      <c r="O37" s="247"/>
      <c r="P37" s="249"/>
    </row>
    <row r="38" spans="2:16" x14ac:dyDescent="0.5">
      <c r="B38" s="246"/>
      <c r="C38" s="246"/>
      <c r="D38" s="156"/>
      <c r="E38" s="148" t="s">
        <v>210</v>
      </c>
      <c r="F38" s="149"/>
      <c r="G38" s="150"/>
      <c r="H38" s="150"/>
      <c r="I38" s="150"/>
      <c r="J38" s="150"/>
      <c r="K38" s="150"/>
      <c r="L38" s="151"/>
      <c r="M38" s="129">
        <f t="shared" si="0"/>
        <v>0</v>
      </c>
      <c r="N38" s="130">
        <f t="shared" si="1"/>
        <v>0</v>
      </c>
      <c r="O38" s="247"/>
      <c r="P38" s="249"/>
    </row>
    <row r="39" spans="2:16" x14ac:dyDescent="0.5">
      <c r="B39" s="246"/>
      <c r="C39" s="246"/>
      <c r="D39" s="156"/>
      <c r="E39" s="148" t="s">
        <v>211</v>
      </c>
      <c r="F39" s="149"/>
      <c r="G39" s="150"/>
      <c r="H39" s="150"/>
      <c r="I39" s="150"/>
      <c r="J39" s="150"/>
      <c r="K39" s="150"/>
      <c r="L39" s="151"/>
      <c r="M39" s="129">
        <f t="shared" si="0"/>
        <v>0</v>
      </c>
      <c r="N39" s="130">
        <f t="shared" si="1"/>
        <v>0</v>
      </c>
      <c r="O39" s="247"/>
      <c r="P39" s="249"/>
    </row>
    <row r="40" spans="2:16" x14ac:dyDescent="0.5">
      <c r="B40" s="240"/>
      <c r="C40" s="240"/>
      <c r="D40" s="157"/>
      <c r="E40" s="138" t="s">
        <v>212</v>
      </c>
      <c r="F40" s="139"/>
      <c r="G40" s="140"/>
      <c r="H40" s="140"/>
      <c r="I40" s="140"/>
      <c r="J40" s="140"/>
      <c r="K40" s="140"/>
      <c r="L40" s="141"/>
      <c r="M40" s="142">
        <f t="shared" si="0"/>
        <v>0</v>
      </c>
      <c r="N40" s="143">
        <f t="shared" si="1"/>
        <v>0</v>
      </c>
      <c r="O40" s="242"/>
      <c r="P40" s="244"/>
    </row>
    <row r="41" spans="2:16" ht="20.399999999999999" x14ac:dyDescent="0.5">
      <c r="B41" s="239" t="s">
        <v>130</v>
      </c>
      <c r="C41" s="251" t="s">
        <v>213</v>
      </c>
      <c r="D41" s="158" t="s">
        <v>214</v>
      </c>
      <c r="E41" s="145" t="s">
        <v>215</v>
      </c>
      <c r="F41" s="149"/>
      <c r="G41" s="150"/>
      <c r="H41" s="150"/>
      <c r="I41" s="150"/>
      <c r="J41" s="150"/>
      <c r="K41" s="150"/>
      <c r="L41" s="151"/>
      <c r="M41" s="123">
        <f t="shared" si="0"/>
        <v>0</v>
      </c>
      <c r="N41" s="124">
        <f t="shared" si="1"/>
        <v>0</v>
      </c>
      <c r="O41" s="241">
        <f>SUM(M41:M58)</f>
        <v>0</v>
      </c>
      <c r="P41" s="243">
        <f>O41/O91</f>
        <v>0</v>
      </c>
    </row>
    <row r="42" spans="2:16" ht="20.399999999999999" x14ac:dyDescent="0.5">
      <c r="B42" s="246"/>
      <c r="C42" s="252"/>
      <c r="D42" s="159" t="s">
        <v>216</v>
      </c>
      <c r="E42" s="155" t="s">
        <v>217</v>
      </c>
      <c r="F42" s="149"/>
      <c r="G42" s="150"/>
      <c r="H42" s="150"/>
      <c r="I42" s="150"/>
      <c r="J42" s="150"/>
      <c r="K42" s="150"/>
      <c r="L42" s="151"/>
      <c r="M42" s="129">
        <f t="shared" si="0"/>
        <v>0</v>
      </c>
      <c r="N42" s="160">
        <f t="shared" si="1"/>
        <v>0</v>
      </c>
      <c r="O42" s="247"/>
      <c r="P42" s="249"/>
    </row>
    <row r="43" spans="2:16" ht="20.399999999999999" x14ac:dyDescent="0.5">
      <c r="B43" s="246"/>
      <c r="C43" s="252"/>
      <c r="D43" s="159" t="s">
        <v>218</v>
      </c>
      <c r="E43" s="155" t="s">
        <v>219</v>
      </c>
      <c r="F43" s="149"/>
      <c r="G43" s="150"/>
      <c r="H43" s="150"/>
      <c r="I43" s="150"/>
      <c r="J43" s="150"/>
      <c r="K43" s="150"/>
      <c r="L43" s="151"/>
      <c r="M43" s="129">
        <f t="shared" si="0"/>
        <v>0</v>
      </c>
      <c r="N43" s="160">
        <f t="shared" si="1"/>
        <v>0</v>
      </c>
      <c r="O43" s="247"/>
      <c r="P43" s="249"/>
    </row>
    <row r="44" spans="2:16" x14ac:dyDescent="0.5">
      <c r="B44" s="246"/>
      <c r="C44" s="252"/>
      <c r="D44" s="161"/>
      <c r="E44" s="148" t="s">
        <v>220</v>
      </c>
      <c r="F44" s="149"/>
      <c r="G44" s="150"/>
      <c r="H44" s="150"/>
      <c r="I44" s="150"/>
      <c r="J44" s="150"/>
      <c r="K44" s="150"/>
      <c r="L44" s="151"/>
      <c r="M44" s="129">
        <f t="shared" si="0"/>
        <v>0</v>
      </c>
      <c r="N44" s="160">
        <f t="shared" si="1"/>
        <v>0</v>
      </c>
      <c r="O44" s="247"/>
      <c r="P44" s="249"/>
    </row>
    <row r="45" spans="2:16" x14ac:dyDescent="0.5">
      <c r="B45" s="246"/>
      <c r="C45" s="252"/>
      <c r="D45" s="161"/>
      <c r="E45" s="148" t="s">
        <v>221</v>
      </c>
      <c r="F45" s="149"/>
      <c r="G45" s="150"/>
      <c r="H45" s="150"/>
      <c r="I45" s="150"/>
      <c r="J45" s="150"/>
      <c r="K45" s="150"/>
      <c r="L45" s="151"/>
      <c r="M45" s="129">
        <f t="shared" si="0"/>
        <v>0</v>
      </c>
      <c r="N45" s="160">
        <f t="shared" si="1"/>
        <v>0</v>
      </c>
      <c r="O45" s="247"/>
      <c r="P45" s="249"/>
    </row>
    <row r="46" spans="2:16" x14ac:dyDescent="0.5">
      <c r="B46" s="246"/>
      <c r="C46" s="252"/>
      <c r="D46" s="161"/>
      <c r="E46" s="148" t="s">
        <v>222</v>
      </c>
      <c r="F46" s="149"/>
      <c r="G46" s="150"/>
      <c r="H46" s="150"/>
      <c r="I46" s="150"/>
      <c r="J46" s="150"/>
      <c r="K46" s="150"/>
      <c r="L46" s="151"/>
      <c r="M46" s="129">
        <f t="shared" si="0"/>
        <v>0</v>
      </c>
      <c r="N46" s="160">
        <f t="shared" si="1"/>
        <v>0</v>
      </c>
      <c r="O46" s="247"/>
      <c r="P46" s="249"/>
    </row>
    <row r="47" spans="2:16" x14ac:dyDescent="0.5">
      <c r="B47" s="246"/>
      <c r="C47" s="252"/>
      <c r="D47" s="161"/>
      <c r="E47" s="148" t="s">
        <v>223</v>
      </c>
      <c r="F47" s="149"/>
      <c r="G47" s="150"/>
      <c r="H47" s="150"/>
      <c r="I47" s="150"/>
      <c r="J47" s="150"/>
      <c r="K47" s="150"/>
      <c r="L47" s="151"/>
      <c r="M47" s="129">
        <f t="shared" si="0"/>
        <v>0</v>
      </c>
      <c r="N47" s="160">
        <f t="shared" si="1"/>
        <v>0</v>
      </c>
      <c r="O47" s="247"/>
      <c r="P47" s="249"/>
    </row>
    <row r="48" spans="2:16" ht="20.399999999999999" x14ac:dyDescent="0.5">
      <c r="B48" s="246"/>
      <c r="C48" s="252"/>
      <c r="D48" s="159" t="s">
        <v>224</v>
      </c>
      <c r="E48" s="155" t="s">
        <v>225</v>
      </c>
      <c r="F48" s="149"/>
      <c r="G48" s="150"/>
      <c r="H48" s="150"/>
      <c r="I48" s="150"/>
      <c r="J48" s="150"/>
      <c r="K48" s="150"/>
      <c r="L48" s="151"/>
      <c r="M48" s="129">
        <f t="shared" si="0"/>
        <v>0</v>
      </c>
      <c r="N48" s="160">
        <f t="shared" si="1"/>
        <v>0</v>
      </c>
      <c r="O48" s="247"/>
      <c r="P48" s="249"/>
    </row>
    <row r="49" spans="2:16" ht="20.399999999999999" x14ac:dyDescent="0.5">
      <c r="B49" s="246"/>
      <c r="C49" s="252"/>
      <c r="D49" s="159" t="s">
        <v>226</v>
      </c>
      <c r="E49" s="155" t="s">
        <v>227</v>
      </c>
      <c r="F49" s="149"/>
      <c r="G49" s="150"/>
      <c r="H49" s="150"/>
      <c r="I49" s="150"/>
      <c r="J49" s="150"/>
      <c r="K49" s="150"/>
      <c r="L49" s="151"/>
      <c r="M49" s="129">
        <f t="shared" si="0"/>
        <v>0</v>
      </c>
      <c r="N49" s="160">
        <f t="shared" si="1"/>
        <v>0</v>
      </c>
      <c r="O49" s="247"/>
      <c r="P49" s="249"/>
    </row>
    <row r="50" spans="2:16" x14ac:dyDescent="0.5">
      <c r="B50" s="246"/>
      <c r="C50" s="252"/>
      <c r="D50" s="161"/>
      <c r="E50" s="148" t="s">
        <v>228</v>
      </c>
      <c r="F50" s="149"/>
      <c r="G50" s="150"/>
      <c r="H50" s="150"/>
      <c r="I50" s="150"/>
      <c r="J50" s="150"/>
      <c r="K50" s="150"/>
      <c r="L50" s="151"/>
      <c r="M50" s="129">
        <f t="shared" si="0"/>
        <v>0</v>
      </c>
      <c r="N50" s="160">
        <f t="shared" si="1"/>
        <v>0</v>
      </c>
      <c r="O50" s="247"/>
      <c r="P50" s="249"/>
    </row>
    <row r="51" spans="2:16" x14ac:dyDescent="0.5">
      <c r="B51" s="246"/>
      <c r="C51" s="252"/>
      <c r="D51" s="161"/>
      <c r="E51" s="148" t="s">
        <v>229</v>
      </c>
      <c r="F51" s="149"/>
      <c r="G51" s="150"/>
      <c r="H51" s="150"/>
      <c r="I51" s="150"/>
      <c r="J51" s="150"/>
      <c r="K51" s="150"/>
      <c r="L51" s="151"/>
      <c r="M51" s="129">
        <f t="shared" si="0"/>
        <v>0</v>
      </c>
      <c r="N51" s="160">
        <f t="shared" si="1"/>
        <v>0</v>
      </c>
      <c r="O51" s="247"/>
      <c r="P51" s="249"/>
    </row>
    <row r="52" spans="2:16" ht="20.399999999999999" x14ac:dyDescent="0.5">
      <c r="B52" s="246"/>
      <c r="C52" s="252"/>
      <c r="D52" s="159" t="s">
        <v>230</v>
      </c>
      <c r="E52" s="155" t="s">
        <v>231</v>
      </c>
      <c r="F52" s="149"/>
      <c r="G52" s="150"/>
      <c r="H52" s="150"/>
      <c r="I52" s="150"/>
      <c r="J52" s="150"/>
      <c r="K52" s="150"/>
      <c r="L52" s="151"/>
      <c r="M52" s="129">
        <f t="shared" si="0"/>
        <v>0</v>
      </c>
      <c r="N52" s="160">
        <f t="shared" si="1"/>
        <v>0</v>
      </c>
      <c r="O52" s="247"/>
      <c r="P52" s="249"/>
    </row>
    <row r="53" spans="2:16" x14ac:dyDescent="0.5">
      <c r="B53" s="246"/>
      <c r="C53" s="252"/>
      <c r="D53" s="161"/>
      <c r="E53" s="148" t="s">
        <v>232</v>
      </c>
      <c r="F53" s="149"/>
      <c r="G53" s="150"/>
      <c r="H53" s="150"/>
      <c r="I53" s="150"/>
      <c r="J53" s="150"/>
      <c r="K53" s="150"/>
      <c r="L53" s="151"/>
      <c r="M53" s="129">
        <f t="shared" si="0"/>
        <v>0</v>
      </c>
      <c r="N53" s="160">
        <f t="shared" si="1"/>
        <v>0</v>
      </c>
      <c r="O53" s="247"/>
      <c r="P53" s="249"/>
    </row>
    <row r="54" spans="2:16" x14ac:dyDescent="0.5">
      <c r="B54" s="246"/>
      <c r="C54" s="252"/>
      <c r="D54" s="161"/>
      <c r="E54" s="148" t="s">
        <v>233</v>
      </c>
      <c r="F54" s="149"/>
      <c r="G54" s="150"/>
      <c r="H54" s="150"/>
      <c r="I54" s="150"/>
      <c r="J54" s="150"/>
      <c r="K54" s="150"/>
      <c r="L54" s="151"/>
      <c r="M54" s="129">
        <f t="shared" si="0"/>
        <v>0</v>
      </c>
      <c r="N54" s="160">
        <f t="shared" si="1"/>
        <v>0</v>
      </c>
      <c r="O54" s="247"/>
      <c r="P54" s="249"/>
    </row>
    <row r="55" spans="2:16" ht="20.399999999999999" x14ac:dyDescent="0.5">
      <c r="B55" s="246"/>
      <c r="C55" s="252"/>
      <c r="D55" s="159" t="s">
        <v>234</v>
      </c>
      <c r="E55" s="155" t="s">
        <v>235</v>
      </c>
      <c r="F55" s="149"/>
      <c r="G55" s="150"/>
      <c r="H55" s="150"/>
      <c r="I55" s="150"/>
      <c r="J55" s="150"/>
      <c r="K55" s="150"/>
      <c r="L55" s="151"/>
      <c r="M55" s="129">
        <f t="shared" si="0"/>
        <v>0</v>
      </c>
      <c r="N55" s="160">
        <f t="shared" si="1"/>
        <v>0</v>
      </c>
      <c r="O55" s="247"/>
      <c r="P55" s="249"/>
    </row>
    <row r="56" spans="2:16" x14ac:dyDescent="0.5">
      <c r="B56" s="246"/>
      <c r="C56" s="252"/>
      <c r="D56" s="161"/>
      <c r="E56" s="148" t="s">
        <v>236</v>
      </c>
      <c r="F56" s="149"/>
      <c r="G56" s="150"/>
      <c r="H56" s="150"/>
      <c r="I56" s="150"/>
      <c r="J56" s="150"/>
      <c r="K56" s="150"/>
      <c r="L56" s="151"/>
      <c r="M56" s="129">
        <f t="shared" si="0"/>
        <v>0</v>
      </c>
      <c r="N56" s="160">
        <f t="shared" si="1"/>
        <v>0</v>
      </c>
      <c r="O56" s="247"/>
      <c r="P56" s="249"/>
    </row>
    <row r="57" spans="2:16" x14ac:dyDescent="0.5">
      <c r="B57" s="246"/>
      <c r="C57" s="252"/>
      <c r="D57" s="161"/>
      <c r="E57" s="148" t="s">
        <v>237</v>
      </c>
      <c r="F57" s="149"/>
      <c r="G57" s="150"/>
      <c r="H57" s="150"/>
      <c r="I57" s="150"/>
      <c r="J57" s="150"/>
      <c r="K57" s="150"/>
      <c r="L57" s="151"/>
      <c r="M57" s="129">
        <f t="shared" si="0"/>
        <v>0</v>
      </c>
      <c r="N57" s="130">
        <f t="shared" si="1"/>
        <v>0</v>
      </c>
      <c r="O57" s="248"/>
      <c r="P57" s="250"/>
    </row>
    <row r="58" spans="2:16" x14ac:dyDescent="0.5">
      <c r="B58" s="246"/>
      <c r="C58" s="252"/>
      <c r="D58" s="161"/>
      <c r="E58" s="138" t="s">
        <v>238</v>
      </c>
      <c r="F58" s="162"/>
      <c r="G58" s="163"/>
      <c r="H58" s="163"/>
      <c r="I58" s="163"/>
      <c r="J58" s="163"/>
      <c r="K58" s="163"/>
      <c r="L58" s="164"/>
      <c r="M58" s="142">
        <f t="shared" si="0"/>
        <v>0</v>
      </c>
      <c r="N58" s="143">
        <f t="shared" si="1"/>
        <v>0</v>
      </c>
      <c r="O58" s="242"/>
      <c r="P58" s="244"/>
    </row>
    <row r="59" spans="2:16" ht="20.399999999999999" x14ac:dyDescent="0.5">
      <c r="B59" s="251" t="s">
        <v>159</v>
      </c>
      <c r="C59" s="251" t="s">
        <v>239</v>
      </c>
      <c r="D59" s="144" t="s">
        <v>240</v>
      </c>
      <c r="E59" s="145" t="s">
        <v>241</v>
      </c>
      <c r="F59" s="146"/>
      <c r="G59" s="121"/>
      <c r="H59" s="121"/>
      <c r="I59" s="121"/>
      <c r="J59" s="121"/>
      <c r="K59" s="121"/>
      <c r="L59" s="122"/>
      <c r="M59" s="123">
        <f t="shared" si="0"/>
        <v>0</v>
      </c>
      <c r="N59" s="124">
        <f t="shared" si="1"/>
        <v>0</v>
      </c>
      <c r="O59" s="241">
        <f>SUM(M59:M68)</f>
        <v>4</v>
      </c>
      <c r="P59" s="243">
        <f>O59/O91</f>
        <v>0.21052631578947367</v>
      </c>
    </row>
    <row r="60" spans="2:16" ht="20.399999999999999" x14ac:dyDescent="0.5">
      <c r="B60" s="252"/>
      <c r="C60" s="252"/>
      <c r="D60" s="165" t="s">
        <v>242</v>
      </c>
      <c r="E60" s="155" t="s">
        <v>243</v>
      </c>
      <c r="F60" s="149"/>
      <c r="G60" s="150"/>
      <c r="H60" s="150"/>
      <c r="I60" s="150"/>
      <c r="J60" s="150"/>
      <c r="K60" s="150"/>
      <c r="L60" s="151"/>
      <c r="M60" s="129">
        <f t="shared" si="0"/>
        <v>0</v>
      </c>
      <c r="N60" s="130">
        <f t="shared" si="1"/>
        <v>0</v>
      </c>
      <c r="O60" s="248"/>
      <c r="P60" s="250"/>
    </row>
    <row r="61" spans="2:16" x14ac:dyDescent="0.5">
      <c r="B61" s="252"/>
      <c r="C61" s="252"/>
      <c r="D61" s="161"/>
      <c r="E61" s="148" t="s">
        <v>244</v>
      </c>
      <c r="F61" s="149"/>
      <c r="G61" s="150"/>
      <c r="H61" s="150"/>
      <c r="I61" s="150"/>
      <c r="J61" s="150"/>
      <c r="K61" s="150"/>
      <c r="L61" s="151"/>
      <c r="M61" s="129">
        <f t="shared" si="0"/>
        <v>0</v>
      </c>
      <c r="N61" s="130">
        <f t="shared" si="1"/>
        <v>0</v>
      </c>
      <c r="O61" s="248"/>
      <c r="P61" s="250"/>
    </row>
    <row r="62" spans="2:16" x14ac:dyDescent="0.5">
      <c r="B62" s="252"/>
      <c r="C62" s="252"/>
      <c r="D62" s="161"/>
      <c r="E62" s="148" t="s">
        <v>245</v>
      </c>
      <c r="F62" s="149"/>
      <c r="G62" s="150"/>
      <c r="H62" s="150"/>
      <c r="I62" s="150"/>
      <c r="J62" s="150"/>
      <c r="K62" s="150"/>
      <c r="L62" s="151"/>
      <c r="M62" s="129">
        <f t="shared" si="0"/>
        <v>0</v>
      </c>
      <c r="N62" s="130">
        <f t="shared" si="1"/>
        <v>0</v>
      </c>
      <c r="O62" s="248"/>
      <c r="P62" s="250"/>
    </row>
    <row r="63" spans="2:16" ht="20.399999999999999" x14ac:dyDescent="0.5">
      <c r="B63" s="252"/>
      <c r="C63" s="252"/>
      <c r="D63" s="165" t="s">
        <v>246</v>
      </c>
      <c r="E63" s="155" t="s">
        <v>247</v>
      </c>
      <c r="F63" s="149"/>
      <c r="G63" s="150"/>
      <c r="H63" s="150"/>
      <c r="I63" s="150"/>
      <c r="J63" s="150"/>
      <c r="K63" s="150"/>
      <c r="L63" s="151"/>
      <c r="M63" s="129">
        <f t="shared" si="0"/>
        <v>0</v>
      </c>
      <c r="N63" s="130">
        <f t="shared" si="1"/>
        <v>0</v>
      </c>
      <c r="O63" s="248"/>
      <c r="P63" s="250"/>
    </row>
    <row r="64" spans="2:16" x14ac:dyDescent="0.5">
      <c r="B64" s="252"/>
      <c r="C64" s="252"/>
      <c r="D64" s="161"/>
      <c r="E64" s="148" t="s">
        <v>248</v>
      </c>
      <c r="F64" s="149"/>
      <c r="G64" s="150"/>
      <c r="H64" s="150"/>
      <c r="I64" s="150"/>
      <c r="J64" s="150"/>
      <c r="K64" s="150"/>
      <c r="L64" s="151"/>
      <c r="M64" s="129">
        <f t="shared" si="0"/>
        <v>0</v>
      </c>
      <c r="N64" s="130">
        <f t="shared" si="1"/>
        <v>0</v>
      </c>
      <c r="O64" s="248"/>
      <c r="P64" s="250"/>
    </row>
    <row r="65" spans="2:16" x14ac:dyDescent="0.5">
      <c r="B65" s="252"/>
      <c r="C65" s="252"/>
      <c r="D65" s="161"/>
      <c r="E65" s="148" t="s">
        <v>249</v>
      </c>
      <c r="F65" s="149"/>
      <c r="G65" s="150"/>
      <c r="H65" s="150"/>
      <c r="I65" s="150"/>
      <c r="J65" s="150"/>
      <c r="K65" s="150"/>
      <c r="L65" s="151">
        <v>4</v>
      </c>
      <c r="M65" s="129">
        <f t="shared" si="0"/>
        <v>4</v>
      </c>
      <c r="N65" s="130">
        <f t="shared" si="1"/>
        <v>0.21052631578947367</v>
      </c>
      <c r="O65" s="248"/>
      <c r="P65" s="250"/>
    </row>
    <row r="66" spans="2:16" ht="20.399999999999999" x14ac:dyDescent="0.5">
      <c r="B66" s="252"/>
      <c r="C66" s="252"/>
      <c r="D66" s="165" t="s">
        <v>250</v>
      </c>
      <c r="E66" s="155" t="s">
        <v>251</v>
      </c>
      <c r="F66" s="149"/>
      <c r="G66" s="150"/>
      <c r="H66" s="150"/>
      <c r="I66" s="150"/>
      <c r="J66" s="150"/>
      <c r="K66" s="150"/>
      <c r="L66" s="151"/>
      <c r="M66" s="129">
        <f t="shared" si="0"/>
        <v>0</v>
      </c>
      <c r="N66" s="130">
        <f t="shared" si="1"/>
        <v>0</v>
      </c>
      <c r="O66" s="248"/>
      <c r="P66" s="250"/>
    </row>
    <row r="67" spans="2:16" ht="20.399999999999999" x14ac:dyDescent="0.5">
      <c r="B67" s="252"/>
      <c r="C67" s="252"/>
      <c r="D67" s="165" t="s">
        <v>252</v>
      </c>
      <c r="E67" s="155" t="s">
        <v>253</v>
      </c>
      <c r="F67" s="149"/>
      <c r="G67" s="150"/>
      <c r="H67" s="150"/>
      <c r="I67" s="150"/>
      <c r="J67" s="150"/>
      <c r="K67" s="150"/>
      <c r="L67" s="151"/>
      <c r="M67" s="129">
        <f t="shared" si="0"/>
        <v>0</v>
      </c>
      <c r="N67" s="130">
        <f t="shared" si="1"/>
        <v>0</v>
      </c>
      <c r="O67" s="248"/>
      <c r="P67" s="250"/>
    </row>
    <row r="68" spans="2:16" ht="20.399999999999999" x14ac:dyDescent="0.5">
      <c r="B68" s="253"/>
      <c r="C68" s="253"/>
      <c r="D68" s="166" t="s">
        <v>254</v>
      </c>
      <c r="E68" s="167" t="s">
        <v>255</v>
      </c>
      <c r="F68" s="168"/>
      <c r="G68" s="169"/>
      <c r="H68" s="169"/>
      <c r="I68" s="169"/>
      <c r="J68" s="169"/>
      <c r="K68" s="169"/>
      <c r="L68" s="170"/>
      <c r="M68" s="142">
        <f t="shared" si="0"/>
        <v>0</v>
      </c>
      <c r="N68" s="143">
        <f t="shared" si="1"/>
        <v>0</v>
      </c>
      <c r="O68" s="242"/>
      <c r="P68" s="244"/>
    </row>
    <row r="69" spans="2:16" ht="20.399999999999999" x14ac:dyDescent="0.5">
      <c r="B69" s="239" t="s">
        <v>160</v>
      </c>
      <c r="C69" s="239" t="s">
        <v>256</v>
      </c>
      <c r="D69" s="171" t="s">
        <v>257</v>
      </c>
      <c r="E69" s="145" t="s">
        <v>258</v>
      </c>
      <c r="F69" s="146"/>
      <c r="G69" s="121"/>
      <c r="H69" s="121"/>
      <c r="I69" s="121"/>
      <c r="J69" s="121"/>
      <c r="K69" s="121"/>
      <c r="L69" s="122"/>
      <c r="M69" s="123">
        <f t="shared" si="0"/>
        <v>0</v>
      </c>
      <c r="N69" s="124">
        <f t="shared" si="1"/>
        <v>0</v>
      </c>
      <c r="O69" s="241">
        <f>SUM(M69:M73)</f>
        <v>0</v>
      </c>
      <c r="P69" s="243">
        <f>O69/O91</f>
        <v>0</v>
      </c>
    </row>
    <row r="70" spans="2:16" ht="20.399999999999999" x14ac:dyDescent="0.5">
      <c r="B70" s="246"/>
      <c r="C70" s="246"/>
      <c r="D70" s="172" t="s">
        <v>259</v>
      </c>
      <c r="E70" s="155" t="s">
        <v>260</v>
      </c>
      <c r="F70" s="149"/>
      <c r="G70" s="150"/>
      <c r="H70" s="150"/>
      <c r="I70" s="150"/>
      <c r="J70" s="150"/>
      <c r="K70" s="150"/>
      <c r="L70" s="151"/>
      <c r="M70" s="129">
        <f t="shared" ref="M70:M90" si="2">SUM(F70:L70)</f>
        <v>0</v>
      </c>
      <c r="N70" s="130">
        <f t="shared" ref="N70:N90" si="3">M70/$M$91</f>
        <v>0</v>
      </c>
      <c r="O70" s="247"/>
      <c r="P70" s="249"/>
    </row>
    <row r="71" spans="2:16" ht="20.399999999999999" x14ac:dyDescent="0.5">
      <c r="B71" s="246"/>
      <c r="C71" s="246"/>
      <c r="D71" s="172" t="s">
        <v>261</v>
      </c>
      <c r="E71" s="155" t="s">
        <v>262</v>
      </c>
      <c r="F71" s="149"/>
      <c r="G71" s="150"/>
      <c r="H71" s="150"/>
      <c r="I71" s="150"/>
      <c r="J71" s="150"/>
      <c r="K71" s="150"/>
      <c r="L71" s="151"/>
      <c r="M71" s="129">
        <f t="shared" si="2"/>
        <v>0</v>
      </c>
      <c r="N71" s="130">
        <f t="shared" si="3"/>
        <v>0</v>
      </c>
      <c r="O71" s="248"/>
      <c r="P71" s="250"/>
    </row>
    <row r="72" spans="2:16" ht="20.399999999999999" x14ac:dyDescent="0.5">
      <c r="B72" s="246"/>
      <c r="C72" s="246"/>
      <c r="D72" s="172" t="s">
        <v>263</v>
      </c>
      <c r="E72" s="173" t="s">
        <v>264</v>
      </c>
      <c r="F72" s="149"/>
      <c r="G72" s="150"/>
      <c r="H72" s="150"/>
      <c r="I72" s="150"/>
      <c r="J72" s="150"/>
      <c r="K72" s="150"/>
      <c r="L72" s="151"/>
      <c r="M72" s="129">
        <f t="shared" si="2"/>
        <v>0</v>
      </c>
      <c r="N72" s="130">
        <f t="shared" si="3"/>
        <v>0</v>
      </c>
      <c r="O72" s="248"/>
      <c r="P72" s="250"/>
    </row>
    <row r="73" spans="2:16" ht="20.399999999999999" x14ac:dyDescent="0.5">
      <c r="B73" s="240"/>
      <c r="C73" s="240"/>
      <c r="D73" s="174" t="s">
        <v>265</v>
      </c>
      <c r="E73" s="167" t="s">
        <v>266</v>
      </c>
      <c r="F73" s="139"/>
      <c r="G73" s="140"/>
      <c r="H73" s="140"/>
      <c r="I73" s="140"/>
      <c r="J73" s="140"/>
      <c r="K73" s="140"/>
      <c r="L73" s="141"/>
      <c r="M73" s="142">
        <f t="shared" si="2"/>
        <v>0</v>
      </c>
      <c r="N73" s="143">
        <f t="shared" si="3"/>
        <v>0</v>
      </c>
      <c r="O73" s="242"/>
      <c r="P73" s="244"/>
    </row>
    <row r="74" spans="2:16" ht="20.399999999999999" x14ac:dyDescent="0.5">
      <c r="B74" s="239" t="s">
        <v>267</v>
      </c>
      <c r="C74" s="239" t="s">
        <v>268</v>
      </c>
      <c r="D74" s="171" t="s">
        <v>269</v>
      </c>
      <c r="E74" s="145" t="s">
        <v>270</v>
      </c>
      <c r="F74" s="146"/>
      <c r="G74" s="121"/>
      <c r="H74" s="121"/>
      <c r="I74" s="121"/>
      <c r="J74" s="121"/>
      <c r="K74" s="121"/>
      <c r="L74" s="175"/>
      <c r="M74" s="176">
        <f t="shared" si="2"/>
        <v>0</v>
      </c>
      <c r="N74" s="124">
        <f t="shared" si="3"/>
        <v>0</v>
      </c>
      <c r="O74" s="241">
        <f>SUM(M74:M86)</f>
        <v>0</v>
      </c>
      <c r="P74" s="243">
        <f>O74/O91</f>
        <v>0</v>
      </c>
    </row>
    <row r="75" spans="2:16" x14ac:dyDescent="0.5">
      <c r="B75" s="246"/>
      <c r="C75" s="246"/>
      <c r="D75" s="177"/>
      <c r="E75" s="178" t="s">
        <v>271</v>
      </c>
      <c r="F75" s="149"/>
      <c r="G75" s="150"/>
      <c r="H75" s="150"/>
      <c r="I75" s="150"/>
      <c r="J75" s="150"/>
      <c r="K75" s="150"/>
      <c r="L75" s="179"/>
      <c r="M75" s="129">
        <f t="shared" si="2"/>
        <v>0</v>
      </c>
      <c r="N75" s="130">
        <f t="shared" si="3"/>
        <v>0</v>
      </c>
      <c r="O75" s="247"/>
      <c r="P75" s="249"/>
    </row>
    <row r="76" spans="2:16" x14ac:dyDescent="0.5">
      <c r="B76" s="246"/>
      <c r="C76" s="246"/>
      <c r="D76" s="177"/>
      <c r="E76" s="178" t="s">
        <v>272</v>
      </c>
      <c r="F76" s="149"/>
      <c r="G76" s="150"/>
      <c r="H76" s="150"/>
      <c r="I76" s="150"/>
      <c r="J76" s="150"/>
      <c r="K76" s="150"/>
      <c r="L76" s="179"/>
      <c r="M76" s="129">
        <f t="shared" si="2"/>
        <v>0</v>
      </c>
      <c r="N76" s="130">
        <f t="shared" si="3"/>
        <v>0</v>
      </c>
      <c r="O76" s="247"/>
      <c r="P76" s="249"/>
    </row>
    <row r="77" spans="2:16" ht="20.399999999999999" x14ac:dyDescent="0.5">
      <c r="B77" s="246"/>
      <c r="C77" s="246"/>
      <c r="D77" s="172" t="s">
        <v>273</v>
      </c>
      <c r="E77" s="155" t="s">
        <v>274</v>
      </c>
      <c r="F77" s="149"/>
      <c r="G77" s="150"/>
      <c r="H77" s="150"/>
      <c r="I77" s="150"/>
      <c r="J77" s="150"/>
      <c r="K77" s="150"/>
      <c r="L77" s="179"/>
      <c r="M77" s="129">
        <f t="shared" si="2"/>
        <v>0</v>
      </c>
      <c r="N77" s="130">
        <f t="shared" si="3"/>
        <v>0</v>
      </c>
      <c r="O77" s="247"/>
      <c r="P77" s="249"/>
    </row>
    <row r="78" spans="2:16" x14ac:dyDescent="0.5">
      <c r="B78" s="246"/>
      <c r="C78" s="246"/>
      <c r="D78" s="180"/>
      <c r="E78" s="132" t="s">
        <v>275</v>
      </c>
      <c r="F78" s="149"/>
      <c r="G78" s="150"/>
      <c r="H78" s="150"/>
      <c r="I78" s="150"/>
      <c r="J78" s="150"/>
      <c r="K78" s="150"/>
      <c r="L78" s="179"/>
      <c r="M78" s="129">
        <f t="shared" si="2"/>
        <v>0</v>
      </c>
      <c r="N78" s="130">
        <f t="shared" si="3"/>
        <v>0</v>
      </c>
      <c r="O78" s="247"/>
      <c r="P78" s="249"/>
    </row>
    <row r="79" spans="2:16" x14ac:dyDescent="0.5">
      <c r="B79" s="246"/>
      <c r="C79" s="246"/>
      <c r="D79" s="180"/>
      <c r="E79" s="132" t="s">
        <v>276</v>
      </c>
      <c r="F79" s="149"/>
      <c r="G79" s="150"/>
      <c r="H79" s="150"/>
      <c r="I79" s="150"/>
      <c r="J79" s="150"/>
      <c r="K79" s="150"/>
      <c r="L79" s="179"/>
      <c r="M79" s="129">
        <f t="shared" si="2"/>
        <v>0</v>
      </c>
      <c r="N79" s="130">
        <f t="shared" si="3"/>
        <v>0</v>
      </c>
      <c r="O79" s="247"/>
      <c r="P79" s="249"/>
    </row>
    <row r="80" spans="2:16" ht="20.399999999999999" x14ac:dyDescent="0.5">
      <c r="B80" s="246"/>
      <c r="C80" s="246"/>
      <c r="D80" s="172" t="s">
        <v>277</v>
      </c>
      <c r="E80" s="155" t="s">
        <v>278</v>
      </c>
      <c r="F80" s="149"/>
      <c r="G80" s="150"/>
      <c r="H80" s="150"/>
      <c r="I80" s="150"/>
      <c r="J80" s="150"/>
      <c r="K80" s="150"/>
      <c r="L80" s="179"/>
      <c r="M80" s="129">
        <f t="shared" si="2"/>
        <v>0</v>
      </c>
      <c r="N80" s="130">
        <f t="shared" si="3"/>
        <v>0</v>
      </c>
      <c r="O80" s="247"/>
      <c r="P80" s="249"/>
    </row>
    <row r="81" spans="2:16" x14ac:dyDescent="0.5">
      <c r="B81" s="246"/>
      <c r="C81" s="246"/>
      <c r="D81" s="181"/>
      <c r="E81" s="182" t="s">
        <v>279</v>
      </c>
      <c r="F81" s="149"/>
      <c r="G81" s="150"/>
      <c r="H81" s="150"/>
      <c r="I81" s="150"/>
      <c r="J81" s="150"/>
      <c r="K81" s="150"/>
      <c r="L81" s="179"/>
      <c r="M81" s="129">
        <f t="shared" si="2"/>
        <v>0</v>
      </c>
      <c r="N81" s="130">
        <f t="shared" si="3"/>
        <v>0</v>
      </c>
      <c r="O81" s="247"/>
      <c r="P81" s="249"/>
    </row>
    <row r="82" spans="2:16" x14ac:dyDescent="0.5">
      <c r="B82" s="246"/>
      <c r="C82" s="246"/>
      <c r="D82" s="181"/>
      <c r="E82" s="182" t="s">
        <v>280</v>
      </c>
      <c r="F82" s="149"/>
      <c r="G82" s="150"/>
      <c r="H82" s="150"/>
      <c r="I82" s="150"/>
      <c r="J82" s="150"/>
      <c r="K82" s="150"/>
      <c r="L82" s="179"/>
      <c r="M82" s="129">
        <f t="shared" si="2"/>
        <v>0</v>
      </c>
      <c r="N82" s="130">
        <f t="shared" si="3"/>
        <v>0</v>
      </c>
      <c r="O82" s="247"/>
      <c r="P82" s="249"/>
    </row>
    <row r="83" spans="2:16" x14ac:dyDescent="0.5">
      <c r="B83" s="246"/>
      <c r="C83" s="246"/>
      <c r="D83" s="181"/>
      <c r="E83" s="182" t="s">
        <v>281</v>
      </c>
      <c r="F83" s="149"/>
      <c r="G83" s="150"/>
      <c r="H83" s="150"/>
      <c r="I83" s="150"/>
      <c r="J83" s="150"/>
      <c r="K83" s="150"/>
      <c r="L83" s="179"/>
      <c r="M83" s="129">
        <f t="shared" si="2"/>
        <v>0</v>
      </c>
      <c r="N83" s="130">
        <f t="shared" si="3"/>
        <v>0</v>
      </c>
      <c r="O83" s="247"/>
      <c r="P83" s="249"/>
    </row>
    <row r="84" spans="2:16" ht="20.399999999999999" x14ac:dyDescent="0.5">
      <c r="B84" s="246"/>
      <c r="C84" s="246"/>
      <c r="D84" s="172" t="s">
        <v>282</v>
      </c>
      <c r="E84" s="173" t="s">
        <v>283</v>
      </c>
      <c r="F84" s="149"/>
      <c r="G84" s="150"/>
      <c r="H84" s="150"/>
      <c r="I84" s="150"/>
      <c r="J84" s="150"/>
      <c r="K84" s="150"/>
      <c r="L84" s="179"/>
      <c r="M84" s="129">
        <f t="shared" si="2"/>
        <v>0</v>
      </c>
      <c r="N84" s="130">
        <f t="shared" si="3"/>
        <v>0</v>
      </c>
      <c r="O84" s="247"/>
      <c r="P84" s="249"/>
    </row>
    <row r="85" spans="2:16" x14ac:dyDescent="0.5">
      <c r="B85" s="246"/>
      <c r="C85" s="246"/>
      <c r="D85" s="181"/>
      <c r="E85" s="182" t="s">
        <v>284</v>
      </c>
      <c r="F85" s="149"/>
      <c r="G85" s="150"/>
      <c r="H85" s="150"/>
      <c r="I85" s="150"/>
      <c r="J85" s="150"/>
      <c r="K85" s="150"/>
      <c r="L85" s="179"/>
      <c r="M85" s="129">
        <f t="shared" si="2"/>
        <v>0</v>
      </c>
      <c r="N85" s="130">
        <f t="shared" si="3"/>
        <v>0</v>
      </c>
      <c r="O85" s="247"/>
      <c r="P85" s="249"/>
    </row>
    <row r="86" spans="2:16" x14ac:dyDescent="0.5">
      <c r="B86" s="240"/>
      <c r="C86" s="240"/>
      <c r="D86" s="183"/>
      <c r="E86" s="184" t="s">
        <v>285</v>
      </c>
      <c r="F86" s="168"/>
      <c r="G86" s="169"/>
      <c r="H86" s="169"/>
      <c r="I86" s="169"/>
      <c r="J86" s="169"/>
      <c r="K86" s="169"/>
      <c r="L86" s="170"/>
      <c r="M86" s="142">
        <f t="shared" si="2"/>
        <v>0</v>
      </c>
      <c r="N86" s="143">
        <f t="shared" si="3"/>
        <v>0</v>
      </c>
      <c r="O86" s="242"/>
      <c r="P86" s="244"/>
    </row>
    <row r="87" spans="2:16" ht="20.399999999999999" x14ac:dyDescent="0.5">
      <c r="B87" s="239" t="s">
        <v>286</v>
      </c>
      <c r="C87" s="239" t="s">
        <v>287</v>
      </c>
      <c r="D87" s="185" t="s">
        <v>288</v>
      </c>
      <c r="E87" s="145" t="s">
        <v>289</v>
      </c>
      <c r="F87" s="146"/>
      <c r="G87" s="121"/>
      <c r="H87" s="121"/>
      <c r="I87" s="121"/>
      <c r="J87" s="121"/>
      <c r="K87" s="121"/>
      <c r="L87" s="122"/>
      <c r="M87" s="176">
        <f t="shared" si="2"/>
        <v>0</v>
      </c>
      <c r="N87" s="124">
        <f t="shared" si="3"/>
        <v>0</v>
      </c>
      <c r="O87" s="241">
        <f>SUM(M87:M88)</f>
        <v>0</v>
      </c>
      <c r="P87" s="243">
        <f>O87/O91</f>
        <v>0</v>
      </c>
    </row>
    <row r="88" spans="2:16" ht="20.399999999999999" x14ac:dyDescent="0.5">
      <c r="B88" s="240"/>
      <c r="C88" s="240"/>
      <c r="D88" s="174" t="s">
        <v>290</v>
      </c>
      <c r="E88" s="167" t="s">
        <v>291</v>
      </c>
      <c r="F88" s="139"/>
      <c r="G88" s="140"/>
      <c r="H88" s="140"/>
      <c r="I88" s="140"/>
      <c r="J88" s="140"/>
      <c r="K88" s="140"/>
      <c r="L88" s="141"/>
      <c r="M88" s="142">
        <f t="shared" si="2"/>
        <v>0</v>
      </c>
      <c r="N88" s="143">
        <f t="shared" si="3"/>
        <v>0</v>
      </c>
      <c r="O88" s="242"/>
      <c r="P88" s="244"/>
    </row>
    <row r="89" spans="2:16" ht="20.399999999999999" x14ac:dyDescent="0.5">
      <c r="B89" s="137" t="s">
        <v>292</v>
      </c>
      <c r="C89" s="137" t="s">
        <v>293</v>
      </c>
      <c r="D89" s="186" t="s">
        <v>294</v>
      </c>
      <c r="E89" s="187" t="s">
        <v>295</v>
      </c>
      <c r="F89" s="168"/>
      <c r="G89" s="169"/>
      <c r="H89" s="169"/>
      <c r="I89" s="169"/>
      <c r="J89" s="169"/>
      <c r="K89" s="169"/>
      <c r="L89" s="170"/>
      <c r="M89" s="176">
        <f t="shared" si="2"/>
        <v>0</v>
      </c>
      <c r="N89" s="124">
        <f t="shared" si="3"/>
        <v>0</v>
      </c>
      <c r="O89" s="108">
        <f>M89</f>
        <v>0</v>
      </c>
      <c r="P89" s="188">
        <f>O89/O91</f>
        <v>0</v>
      </c>
    </row>
    <row r="90" spans="2:16" ht="20.399999999999999" x14ac:dyDescent="0.5">
      <c r="B90" s="137" t="s">
        <v>296</v>
      </c>
      <c r="C90" s="137" t="s">
        <v>297</v>
      </c>
      <c r="D90" s="189" t="s">
        <v>298</v>
      </c>
      <c r="E90" s="187" t="s">
        <v>299</v>
      </c>
      <c r="F90" s="168"/>
      <c r="G90" s="169"/>
      <c r="H90" s="169"/>
      <c r="I90" s="169"/>
      <c r="J90" s="169"/>
      <c r="K90" s="169"/>
      <c r="L90" s="170"/>
      <c r="M90" s="176">
        <f t="shared" si="2"/>
        <v>0</v>
      </c>
      <c r="N90" s="124">
        <f t="shared" si="3"/>
        <v>0</v>
      </c>
      <c r="O90" s="108">
        <f>M90</f>
        <v>0</v>
      </c>
      <c r="P90" s="188">
        <f>O90/O91</f>
        <v>0</v>
      </c>
    </row>
    <row r="91" spans="2:16" ht="20.399999999999999" x14ac:dyDescent="0.5">
      <c r="B91" s="245" t="s">
        <v>158</v>
      </c>
      <c r="C91" s="245"/>
      <c r="D91" s="240"/>
      <c r="E91" s="240"/>
      <c r="F91" s="190">
        <f>SUM(F6:F90)</f>
        <v>0</v>
      </c>
      <c r="G91" s="190">
        <f t="shared" ref="G91:L91" si="4">SUM(G6:G90)</f>
        <v>0</v>
      </c>
      <c r="H91" s="190">
        <f t="shared" si="4"/>
        <v>0</v>
      </c>
      <c r="I91" s="190">
        <f t="shared" si="4"/>
        <v>0</v>
      </c>
      <c r="J91" s="190">
        <f t="shared" si="4"/>
        <v>0</v>
      </c>
      <c r="K91" s="190">
        <f>SUM(K6:K90)</f>
        <v>0</v>
      </c>
      <c r="L91" s="191">
        <f t="shared" si="4"/>
        <v>19</v>
      </c>
      <c r="M91" s="192">
        <f>SUM(M6:M90)</f>
        <v>19</v>
      </c>
      <c r="N91" s="193">
        <f>SUM(N6:N90)</f>
        <v>1</v>
      </c>
      <c r="O91" s="190">
        <f>SUM(O6:O90)</f>
        <v>19</v>
      </c>
      <c r="P91" s="194">
        <f>SUM(P6:P90)</f>
        <v>1</v>
      </c>
    </row>
  </sheetData>
  <mergeCells count="36">
    <mergeCell ref="B2:P2"/>
    <mergeCell ref="B3:C5"/>
    <mergeCell ref="D3:E5"/>
    <mergeCell ref="F3:L4"/>
    <mergeCell ref="M3:P3"/>
    <mergeCell ref="M4:N4"/>
    <mergeCell ref="O4:P4"/>
    <mergeCell ref="B6:B13"/>
    <mergeCell ref="C6:C13"/>
    <mergeCell ref="O6:O13"/>
    <mergeCell ref="P6:P13"/>
    <mergeCell ref="B14:B40"/>
    <mergeCell ref="C14:C40"/>
    <mergeCell ref="O14:O40"/>
    <mergeCell ref="P14:P40"/>
    <mergeCell ref="B41:B58"/>
    <mergeCell ref="C41:C58"/>
    <mergeCell ref="O41:O58"/>
    <mergeCell ref="P41:P58"/>
    <mergeCell ref="B59:B68"/>
    <mergeCell ref="C59:C68"/>
    <mergeCell ref="O59:O68"/>
    <mergeCell ref="P59:P68"/>
    <mergeCell ref="B69:B73"/>
    <mergeCell ref="C69:C73"/>
    <mergeCell ref="O69:O73"/>
    <mergeCell ref="P69:P73"/>
    <mergeCell ref="B74:B86"/>
    <mergeCell ref="C74:C86"/>
    <mergeCell ref="O74:O86"/>
    <mergeCell ref="P74:P86"/>
    <mergeCell ref="B87:B88"/>
    <mergeCell ref="C87:C88"/>
    <mergeCell ref="O87:O88"/>
    <mergeCell ref="P87:P88"/>
    <mergeCell ref="B91:E91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E674B-EE32-45E2-9BEE-7B29A3C8824E}">
  <sheetPr>
    <tabColor rgb="FF92D050"/>
    <pageSetUpPr fitToPage="1"/>
  </sheetPr>
  <dimension ref="B2:P91"/>
  <sheetViews>
    <sheetView zoomScale="90" zoomScaleNormal="90" workbookViewId="0">
      <selection activeCell="E17" sqref="E17"/>
    </sheetView>
  </sheetViews>
  <sheetFormatPr defaultColWidth="8.69921875" defaultRowHeight="19.8" x14ac:dyDescent="0.5"/>
  <cols>
    <col min="1" max="1" width="2.59765625" style="115" customWidth="1"/>
    <col min="2" max="2" width="8.69921875" style="195"/>
    <col min="3" max="3" width="20.69921875" style="195" customWidth="1"/>
    <col min="4" max="4" width="8.69921875" style="195"/>
    <col min="5" max="5" width="61" style="195" customWidth="1"/>
    <col min="6" max="12" width="8.69921875" style="195"/>
    <col min="13" max="16" width="10.69921875" style="195" customWidth="1"/>
    <col min="17" max="16384" width="8.69921875" style="115"/>
  </cols>
  <sheetData>
    <row r="2" spans="2:16" ht="26.4" x14ac:dyDescent="0.5">
      <c r="B2" s="256" t="s">
        <v>300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</row>
    <row r="3" spans="2:16" ht="20.399999999999999" x14ac:dyDescent="0.5">
      <c r="B3" s="257" t="s">
        <v>155</v>
      </c>
      <c r="C3" s="258"/>
      <c r="D3" s="257" t="s">
        <v>156</v>
      </c>
      <c r="E3" s="258"/>
      <c r="F3" s="257" t="s">
        <v>157</v>
      </c>
      <c r="G3" s="263"/>
      <c r="H3" s="263"/>
      <c r="I3" s="263"/>
      <c r="J3" s="263"/>
      <c r="K3" s="263"/>
      <c r="L3" s="264"/>
      <c r="M3" s="267" t="s">
        <v>158</v>
      </c>
      <c r="N3" s="267"/>
      <c r="O3" s="268"/>
      <c r="P3" s="268"/>
    </row>
    <row r="4" spans="2:16" ht="20.399999999999999" x14ac:dyDescent="0.5">
      <c r="B4" s="259"/>
      <c r="C4" s="260"/>
      <c r="D4" s="259"/>
      <c r="E4" s="260"/>
      <c r="F4" s="261"/>
      <c r="G4" s="265"/>
      <c r="H4" s="265"/>
      <c r="I4" s="265"/>
      <c r="J4" s="265"/>
      <c r="K4" s="265"/>
      <c r="L4" s="266"/>
      <c r="M4" s="269" t="s">
        <v>156</v>
      </c>
      <c r="N4" s="267"/>
      <c r="O4" s="270" t="s">
        <v>155</v>
      </c>
      <c r="P4" s="267"/>
    </row>
    <row r="5" spans="2:16" ht="20.399999999999999" x14ac:dyDescent="0.5">
      <c r="B5" s="261"/>
      <c r="C5" s="262"/>
      <c r="D5" s="261"/>
      <c r="E5" s="262"/>
      <c r="F5" s="117" t="s">
        <v>70</v>
      </c>
      <c r="G5" s="117" t="s">
        <v>122</v>
      </c>
      <c r="H5" s="117" t="s">
        <v>130</v>
      </c>
      <c r="I5" s="117" t="s">
        <v>159</v>
      </c>
      <c r="J5" s="117" t="s">
        <v>160</v>
      </c>
      <c r="K5" s="117" t="s">
        <v>161</v>
      </c>
      <c r="L5" s="118" t="s">
        <v>162</v>
      </c>
      <c r="M5" s="116" t="s">
        <v>163</v>
      </c>
      <c r="N5" s="116" t="s">
        <v>164</v>
      </c>
      <c r="O5" s="117" t="s">
        <v>163</v>
      </c>
      <c r="P5" s="117" t="s">
        <v>164</v>
      </c>
    </row>
    <row r="6" spans="2:16" ht="20.399999999999999" x14ac:dyDescent="0.5">
      <c r="B6" s="239" t="s">
        <v>70</v>
      </c>
      <c r="C6" s="239" t="s">
        <v>165</v>
      </c>
      <c r="D6" s="119" t="s">
        <v>166</v>
      </c>
      <c r="E6" s="120" t="s">
        <v>167</v>
      </c>
      <c r="F6" s="121"/>
      <c r="G6" s="121"/>
      <c r="H6" s="121"/>
      <c r="I6" s="121"/>
      <c r="J6" s="121"/>
      <c r="K6" s="121"/>
      <c r="L6" s="122">
        <v>3</v>
      </c>
      <c r="M6" s="123">
        <f t="shared" ref="M6:M69" si="0">SUM(F6:L6)</f>
        <v>3</v>
      </c>
      <c r="N6" s="124">
        <f t="shared" ref="N6:N69" si="1">M6/$M$91</f>
        <v>0.15789473684210525</v>
      </c>
      <c r="O6" s="241">
        <f>SUM(M6:M13)</f>
        <v>5</v>
      </c>
      <c r="P6" s="243">
        <f>O6/O91</f>
        <v>0.26315789473684209</v>
      </c>
    </row>
    <row r="7" spans="2:16" ht="20.399999999999999" x14ac:dyDescent="0.5">
      <c r="B7" s="246"/>
      <c r="C7" s="246"/>
      <c r="D7" s="125" t="s">
        <v>168</v>
      </c>
      <c r="E7" s="126" t="s">
        <v>169</v>
      </c>
      <c r="F7" s="127"/>
      <c r="G7" s="127"/>
      <c r="H7" s="127"/>
      <c r="I7" s="127"/>
      <c r="J7" s="127"/>
      <c r="K7" s="127"/>
      <c r="L7" s="128"/>
      <c r="M7" s="129">
        <f t="shared" si="0"/>
        <v>0</v>
      </c>
      <c r="N7" s="130">
        <f t="shared" si="1"/>
        <v>0</v>
      </c>
      <c r="O7" s="248"/>
      <c r="P7" s="250"/>
    </row>
    <row r="8" spans="2:16" ht="20.399999999999999" x14ac:dyDescent="0.5">
      <c r="B8" s="246"/>
      <c r="C8" s="246"/>
      <c r="D8" s="125" t="s">
        <v>170</v>
      </c>
      <c r="E8" s="126" t="s">
        <v>171</v>
      </c>
      <c r="F8" s="127"/>
      <c r="G8" s="127"/>
      <c r="H8" s="127"/>
      <c r="I8" s="127"/>
      <c r="J8" s="127"/>
      <c r="K8" s="127"/>
      <c r="L8" s="128">
        <v>1</v>
      </c>
      <c r="M8" s="129">
        <f t="shared" si="0"/>
        <v>1</v>
      </c>
      <c r="N8" s="130">
        <f t="shared" si="1"/>
        <v>5.2631578947368418E-2</v>
      </c>
      <c r="O8" s="248"/>
      <c r="P8" s="250"/>
    </row>
    <row r="9" spans="2:16" ht="20.399999999999999" x14ac:dyDescent="0.5">
      <c r="B9" s="246"/>
      <c r="C9" s="246"/>
      <c r="D9" s="125" t="s">
        <v>172</v>
      </c>
      <c r="E9" s="126" t="s">
        <v>173</v>
      </c>
      <c r="F9" s="127"/>
      <c r="G9" s="127"/>
      <c r="H9" s="127"/>
      <c r="I9" s="127"/>
      <c r="J9" s="127"/>
      <c r="K9" s="127"/>
      <c r="L9" s="128">
        <v>1</v>
      </c>
      <c r="M9" s="129">
        <f t="shared" si="0"/>
        <v>1</v>
      </c>
      <c r="N9" s="130">
        <f t="shared" si="1"/>
        <v>5.2631578947368418E-2</v>
      </c>
      <c r="O9" s="248"/>
      <c r="P9" s="250"/>
    </row>
    <row r="10" spans="2:16" ht="20.399999999999999" x14ac:dyDescent="0.5">
      <c r="B10" s="246"/>
      <c r="C10" s="246"/>
      <c r="D10" s="125" t="s">
        <v>174</v>
      </c>
      <c r="E10" s="126" t="s">
        <v>175</v>
      </c>
      <c r="F10" s="127"/>
      <c r="G10" s="127"/>
      <c r="H10" s="127"/>
      <c r="I10" s="127"/>
      <c r="J10" s="127"/>
      <c r="K10" s="127"/>
      <c r="L10" s="128"/>
      <c r="M10" s="129">
        <f t="shared" si="0"/>
        <v>0</v>
      </c>
      <c r="N10" s="130">
        <f t="shared" si="1"/>
        <v>0</v>
      </c>
      <c r="O10" s="248"/>
      <c r="P10" s="250"/>
    </row>
    <row r="11" spans="2:16" ht="20.399999999999999" x14ac:dyDescent="0.5">
      <c r="B11" s="246"/>
      <c r="C11" s="246"/>
      <c r="D11" s="131"/>
      <c r="E11" s="132" t="s">
        <v>176</v>
      </c>
      <c r="F11" s="133"/>
      <c r="G11" s="127"/>
      <c r="H11" s="127"/>
      <c r="I11" s="127"/>
      <c r="J11" s="127"/>
      <c r="K11" s="127"/>
      <c r="L11" s="128"/>
      <c r="M11" s="129">
        <f t="shared" si="0"/>
        <v>0</v>
      </c>
      <c r="N11" s="130">
        <f t="shared" si="1"/>
        <v>0</v>
      </c>
      <c r="O11" s="248"/>
      <c r="P11" s="250"/>
    </row>
    <row r="12" spans="2:16" ht="20.399999999999999" x14ac:dyDescent="0.5">
      <c r="B12" s="246"/>
      <c r="C12" s="246"/>
      <c r="D12" s="131"/>
      <c r="E12" s="132" t="s">
        <v>177</v>
      </c>
      <c r="F12" s="134"/>
      <c r="G12" s="135"/>
      <c r="H12" s="135"/>
      <c r="I12" s="135"/>
      <c r="J12" s="135"/>
      <c r="K12" s="135"/>
      <c r="L12" s="136"/>
      <c r="M12" s="129">
        <f t="shared" si="0"/>
        <v>0</v>
      </c>
      <c r="N12" s="130">
        <f t="shared" si="1"/>
        <v>0</v>
      </c>
      <c r="O12" s="254"/>
      <c r="P12" s="255"/>
    </row>
    <row r="13" spans="2:16" ht="20.399999999999999" x14ac:dyDescent="0.5">
      <c r="B13" s="240"/>
      <c r="C13" s="240"/>
      <c r="D13" s="131"/>
      <c r="E13" s="138" t="s">
        <v>178</v>
      </c>
      <c r="F13" s="139"/>
      <c r="G13" s="140"/>
      <c r="H13" s="140"/>
      <c r="I13" s="140"/>
      <c r="J13" s="140"/>
      <c r="K13" s="140"/>
      <c r="L13" s="141"/>
      <c r="M13" s="142">
        <f t="shared" si="0"/>
        <v>0</v>
      </c>
      <c r="N13" s="143">
        <f t="shared" si="1"/>
        <v>0</v>
      </c>
      <c r="O13" s="242"/>
      <c r="P13" s="244"/>
    </row>
    <row r="14" spans="2:16" ht="20.399999999999999" x14ac:dyDescent="0.5">
      <c r="B14" s="239" t="s">
        <v>122</v>
      </c>
      <c r="C14" s="239" t="s">
        <v>179</v>
      </c>
      <c r="D14" s="144" t="s">
        <v>180</v>
      </c>
      <c r="E14" s="145" t="s">
        <v>181</v>
      </c>
      <c r="F14" s="146"/>
      <c r="G14" s="121"/>
      <c r="H14" s="121"/>
      <c r="I14" s="121"/>
      <c r="J14" s="121"/>
      <c r="K14" s="121"/>
      <c r="L14" s="122"/>
      <c r="M14" s="123">
        <f t="shared" si="0"/>
        <v>0</v>
      </c>
      <c r="N14" s="124">
        <f t="shared" si="1"/>
        <v>0</v>
      </c>
      <c r="O14" s="241">
        <f>SUM(M14:M40)</f>
        <v>10</v>
      </c>
      <c r="P14" s="243">
        <f>O14/O91</f>
        <v>0.52631578947368418</v>
      </c>
    </row>
    <row r="15" spans="2:16" x14ac:dyDescent="0.5">
      <c r="B15" s="246"/>
      <c r="C15" s="246"/>
      <c r="D15" s="147"/>
      <c r="E15" s="148" t="s">
        <v>182</v>
      </c>
      <c r="F15" s="149"/>
      <c r="G15" s="150"/>
      <c r="H15" s="150"/>
      <c r="I15" s="150"/>
      <c r="J15" s="150"/>
      <c r="K15" s="150"/>
      <c r="L15" s="151"/>
      <c r="M15" s="129">
        <f t="shared" si="0"/>
        <v>0</v>
      </c>
      <c r="N15" s="130">
        <f t="shared" si="1"/>
        <v>0</v>
      </c>
      <c r="O15" s="247"/>
      <c r="P15" s="249"/>
    </row>
    <row r="16" spans="2:16" x14ac:dyDescent="0.5">
      <c r="B16" s="246"/>
      <c r="C16" s="246"/>
      <c r="D16" s="152"/>
      <c r="E16" s="153" t="s">
        <v>183</v>
      </c>
      <c r="F16" s="133"/>
      <c r="G16" s="150"/>
      <c r="H16" s="150"/>
      <c r="I16" s="150"/>
      <c r="J16" s="150"/>
      <c r="K16" s="150"/>
      <c r="L16" s="151"/>
      <c r="M16" s="129">
        <f t="shared" si="0"/>
        <v>0</v>
      </c>
      <c r="N16" s="130">
        <f t="shared" si="1"/>
        <v>0</v>
      </c>
      <c r="O16" s="247"/>
      <c r="P16" s="249"/>
    </row>
    <row r="17" spans="2:16" ht="20.399999999999999" x14ac:dyDescent="0.5">
      <c r="B17" s="246"/>
      <c r="C17" s="246"/>
      <c r="D17" s="154" t="s">
        <v>184</v>
      </c>
      <c r="E17" s="155" t="s">
        <v>185</v>
      </c>
      <c r="F17" s="133"/>
      <c r="G17" s="150"/>
      <c r="H17" s="150"/>
      <c r="I17" s="150"/>
      <c r="J17" s="150"/>
      <c r="K17" s="150"/>
      <c r="L17" s="151"/>
      <c r="M17" s="129">
        <f t="shared" si="0"/>
        <v>0</v>
      </c>
      <c r="N17" s="130">
        <f t="shared" si="1"/>
        <v>0</v>
      </c>
      <c r="O17" s="247"/>
      <c r="P17" s="249"/>
    </row>
    <row r="18" spans="2:16" x14ac:dyDescent="0.5">
      <c r="B18" s="246"/>
      <c r="C18" s="246"/>
      <c r="D18" s="156"/>
      <c r="E18" s="148" t="s">
        <v>186</v>
      </c>
      <c r="F18" s="149"/>
      <c r="G18" s="150"/>
      <c r="H18" s="150"/>
      <c r="I18" s="150"/>
      <c r="J18" s="150"/>
      <c r="K18" s="150"/>
      <c r="L18" s="151">
        <v>10</v>
      </c>
      <c r="M18" s="129">
        <f t="shared" si="0"/>
        <v>10</v>
      </c>
      <c r="N18" s="130">
        <f t="shared" si="1"/>
        <v>0.52631578947368418</v>
      </c>
      <c r="O18" s="247"/>
      <c r="P18" s="249"/>
    </row>
    <row r="19" spans="2:16" x14ac:dyDescent="0.5">
      <c r="B19" s="246"/>
      <c r="C19" s="246"/>
      <c r="D19" s="147"/>
      <c r="E19" s="148" t="s">
        <v>187</v>
      </c>
      <c r="F19" s="149"/>
      <c r="G19" s="150"/>
      <c r="H19" s="150"/>
      <c r="I19" s="150"/>
      <c r="J19" s="150"/>
      <c r="K19" s="150"/>
      <c r="L19" s="151"/>
      <c r="M19" s="129">
        <f t="shared" si="0"/>
        <v>0</v>
      </c>
      <c r="N19" s="130">
        <f t="shared" si="1"/>
        <v>0</v>
      </c>
      <c r="O19" s="247"/>
      <c r="P19" s="249"/>
    </row>
    <row r="20" spans="2:16" x14ac:dyDescent="0.5">
      <c r="B20" s="246"/>
      <c r="C20" s="246"/>
      <c r="D20" s="147"/>
      <c r="E20" s="148" t="s">
        <v>188</v>
      </c>
      <c r="F20" s="149"/>
      <c r="G20" s="150"/>
      <c r="H20" s="150"/>
      <c r="I20" s="150"/>
      <c r="J20" s="150"/>
      <c r="K20" s="150"/>
      <c r="L20" s="151"/>
      <c r="M20" s="129">
        <f t="shared" si="0"/>
        <v>0</v>
      </c>
      <c r="N20" s="130">
        <f t="shared" si="1"/>
        <v>0</v>
      </c>
      <c r="O20" s="247"/>
      <c r="P20" s="249"/>
    </row>
    <row r="21" spans="2:16" x14ac:dyDescent="0.5">
      <c r="B21" s="246"/>
      <c r="C21" s="246"/>
      <c r="D21" s="147"/>
      <c r="E21" s="148" t="s">
        <v>189</v>
      </c>
      <c r="F21" s="149"/>
      <c r="G21" s="150"/>
      <c r="H21" s="150"/>
      <c r="I21" s="150"/>
      <c r="J21" s="150"/>
      <c r="K21" s="150"/>
      <c r="L21" s="151"/>
      <c r="M21" s="129">
        <f t="shared" si="0"/>
        <v>0</v>
      </c>
      <c r="N21" s="130">
        <f t="shared" si="1"/>
        <v>0</v>
      </c>
      <c r="O21" s="247"/>
      <c r="P21" s="249"/>
    </row>
    <row r="22" spans="2:16" x14ac:dyDescent="0.5">
      <c r="B22" s="246"/>
      <c r="C22" s="246"/>
      <c r="D22" s="147"/>
      <c r="E22" s="148" t="s">
        <v>190</v>
      </c>
      <c r="F22" s="149"/>
      <c r="G22" s="150"/>
      <c r="H22" s="150"/>
      <c r="I22" s="150"/>
      <c r="J22" s="150"/>
      <c r="K22" s="150"/>
      <c r="L22" s="151"/>
      <c r="M22" s="129">
        <f t="shared" si="0"/>
        <v>0</v>
      </c>
      <c r="N22" s="130">
        <f t="shared" si="1"/>
        <v>0</v>
      </c>
      <c r="O22" s="247"/>
      <c r="P22" s="249"/>
    </row>
    <row r="23" spans="2:16" x14ac:dyDescent="0.5">
      <c r="B23" s="246"/>
      <c r="C23" s="246"/>
      <c r="D23" s="147"/>
      <c r="E23" s="148" t="s">
        <v>191</v>
      </c>
      <c r="F23" s="149"/>
      <c r="G23" s="150"/>
      <c r="H23" s="150"/>
      <c r="I23" s="150"/>
      <c r="J23" s="150"/>
      <c r="K23" s="150"/>
      <c r="L23" s="151"/>
      <c r="M23" s="129">
        <f t="shared" si="0"/>
        <v>0</v>
      </c>
      <c r="N23" s="130">
        <f t="shared" si="1"/>
        <v>0</v>
      </c>
      <c r="O23" s="247"/>
      <c r="P23" s="249"/>
    </row>
    <row r="24" spans="2:16" x14ac:dyDescent="0.5">
      <c r="B24" s="246"/>
      <c r="C24" s="246"/>
      <c r="D24" s="147"/>
      <c r="E24" s="148" t="s">
        <v>192</v>
      </c>
      <c r="F24" s="149"/>
      <c r="G24" s="150"/>
      <c r="H24" s="150"/>
      <c r="I24" s="150"/>
      <c r="J24" s="150"/>
      <c r="K24" s="150"/>
      <c r="L24" s="151"/>
      <c r="M24" s="129">
        <f t="shared" si="0"/>
        <v>0</v>
      </c>
      <c r="N24" s="130">
        <f t="shared" si="1"/>
        <v>0</v>
      </c>
      <c r="O24" s="247"/>
      <c r="P24" s="249"/>
    </row>
    <row r="25" spans="2:16" x14ac:dyDescent="0.5">
      <c r="B25" s="246"/>
      <c r="C25" s="246"/>
      <c r="D25" s="147"/>
      <c r="E25" s="148" t="s">
        <v>193</v>
      </c>
      <c r="F25" s="149"/>
      <c r="G25" s="150"/>
      <c r="H25" s="150"/>
      <c r="I25" s="150"/>
      <c r="J25" s="150"/>
      <c r="K25" s="150"/>
      <c r="L25" s="151"/>
      <c r="M25" s="129">
        <f t="shared" si="0"/>
        <v>0</v>
      </c>
      <c r="N25" s="130">
        <f t="shared" si="1"/>
        <v>0</v>
      </c>
      <c r="O25" s="247"/>
      <c r="P25" s="249"/>
    </row>
    <row r="26" spans="2:16" x14ac:dyDescent="0.5">
      <c r="B26" s="246"/>
      <c r="C26" s="246"/>
      <c r="D26" s="147"/>
      <c r="E26" s="148" t="s">
        <v>194</v>
      </c>
      <c r="F26" s="149"/>
      <c r="G26" s="150"/>
      <c r="H26" s="150"/>
      <c r="I26" s="150"/>
      <c r="J26" s="150"/>
      <c r="K26" s="150"/>
      <c r="L26" s="151"/>
      <c r="M26" s="129">
        <f t="shared" si="0"/>
        <v>0</v>
      </c>
      <c r="N26" s="130">
        <f t="shared" si="1"/>
        <v>0</v>
      </c>
      <c r="O26" s="247"/>
      <c r="P26" s="249"/>
    </row>
    <row r="27" spans="2:16" ht="20.399999999999999" x14ac:dyDescent="0.5">
      <c r="B27" s="246"/>
      <c r="C27" s="246"/>
      <c r="D27" s="154" t="s">
        <v>195</v>
      </c>
      <c r="E27" s="155" t="s">
        <v>196</v>
      </c>
      <c r="F27" s="149"/>
      <c r="G27" s="150"/>
      <c r="H27" s="150"/>
      <c r="I27" s="150"/>
      <c r="J27" s="150"/>
      <c r="K27" s="150"/>
      <c r="L27" s="151"/>
      <c r="M27" s="129">
        <f t="shared" si="0"/>
        <v>0</v>
      </c>
      <c r="N27" s="130">
        <f t="shared" si="1"/>
        <v>0</v>
      </c>
      <c r="O27" s="247"/>
      <c r="P27" s="249"/>
    </row>
    <row r="28" spans="2:16" x14ac:dyDescent="0.5">
      <c r="B28" s="246"/>
      <c r="C28" s="246"/>
      <c r="D28" s="156"/>
      <c r="E28" s="148" t="s">
        <v>197</v>
      </c>
      <c r="F28" s="149"/>
      <c r="G28" s="150"/>
      <c r="H28" s="150"/>
      <c r="I28" s="150"/>
      <c r="J28" s="150"/>
      <c r="K28" s="150"/>
      <c r="L28" s="151"/>
      <c r="M28" s="129">
        <f t="shared" si="0"/>
        <v>0</v>
      </c>
      <c r="N28" s="130">
        <f t="shared" si="1"/>
        <v>0</v>
      </c>
      <c r="O28" s="247"/>
      <c r="P28" s="249"/>
    </row>
    <row r="29" spans="2:16" x14ac:dyDescent="0.5">
      <c r="B29" s="246"/>
      <c r="C29" s="246"/>
      <c r="D29" s="156"/>
      <c r="E29" s="148" t="s">
        <v>198</v>
      </c>
      <c r="F29" s="149"/>
      <c r="G29" s="150"/>
      <c r="H29" s="150"/>
      <c r="I29" s="150"/>
      <c r="J29" s="150"/>
      <c r="K29" s="150"/>
      <c r="L29" s="151"/>
      <c r="M29" s="129">
        <f t="shared" si="0"/>
        <v>0</v>
      </c>
      <c r="N29" s="130">
        <f t="shared" si="1"/>
        <v>0</v>
      </c>
      <c r="O29" s="247"/>
      <c r="P29" s="249"/>
    </row>
    <row r="30" spans="2:16" ht="20.399999999999999" x14ac:dyDescent="0.5">
      <c r="B30" s="246"/>
      <c r="C30" s="246"/>
      <c r="D30" s="154" t="s">
        <v>199</v>
      </c>
      <c r="E30" s="155" t="s">
        <v>200</v>
      </c>
      <c r="F30" s="149"/>
      <c r="G30" s="150"/>
      <c r="H30" s="150"/>
      <c r="I30" s="150"/>
      <c r="J30" s="150"/>
      <c r="K30" s="150"/>
      <c r="L30" s="151"/>
      <c r="M30" s="129">
        <f t="shared" si="0"/>
        <v>0</v>
      </c>
      <c r="N30" s="130">
        <f t="shared" si="1"/>
        <v>0</v>
      </c>
      <c r="O30" s="247"/>
      <c r="P30" s="249"/>
    </row>
    <row r="31" spans="2:16" ht="20.399999999999999" x14ac:dyDescent="0.5">
      <c r="B31" s="246"/>
      <c r="C31" s="246"/>
      <c r="D31" s="154" t="s">
        <v>201</v>
      </c>
      <c r="E31" s="155" t="s">
        <v>202</v>
      </c>
      <c r="F31" s="149"/>
      <c r="G31" s="150"/>
      <c r="H31" s="150"/>
      <c r="I31" s="150"/>
      <c r="J31" s="150"/>
      <c r="K31" s="150"/>
      <c r="L31" s="151"/>
      <c r="M31" s="129">
        <f t="shared" si="0"/>
        <v>0</v>
      </c>
      <c r="N31" s="130">
        <f t="shared" si="1"/>
        <v>0</v>
      </c>
      <c r="O31" s="247"/>
      <c r="P31" s="249"/>
    </row>
    <row r="32" spans="2:16" x14ac:dyDescent="0.5">
      <c r="B32" s="246"/>
      <c r="C32" s="246"/>
      <c r="D32" s="156"/>
      <c r="E32" s="148" t="s">
        <v>203</v>
      </c>
      <c r="F32" s="149"/>
      <c r="G32" s="150"/>
      <c r="H32" s="150"/>
      <c r="I32" s="150"/>
      <c r="J32" s="150"/>
      <c r="K32" s="150"/>
      <c r="L32" s="151"/>
      <c r="M32" s="129">
        <f t="shared" si="0"/>
        <v>0</v>
      </c>
      <c r="N32" s="130">
        <f t="shared" si="1"/>
        <v>0</v>
      </c>
      <c r="O32" s="247"/>
      <c r="P32" s="249"/>
    </row>
    <row r="33" spans="2:16" x14ac:dyDescent="0.5">
      <c r="B33" s="246"/>
      <c r="C33" s="246"/>
      <c r="D33" s="156"/>
      <c r="E33" s="148" t="s">
        <v>204</v>
      </c>
      <c r="F33" s="149"/>
      <c r="G33" s="150"/>
      <c r="H33" s="150"/>
      <c r="I33" s="150"/>
      <c r="J33" s="150"/>
      <c r="K33" s="150"/>
      <c r="L33" s="151"/>
      <c r="M33" s="129">
        <f t="shared" si="0"/>
        <v>0</v>
      </c>
      <c r="N33" s="130">
        <f t="shared" si="1"/>
        <v>0</v>
      </c>
      <c r="O33" s="247"/>
      <c r="P33" s="249"/>
    </row>
    <row r="34" spans="2:16" x14ac:dyDescent="0.5">
      <c r="B34" s="246"/>
      <c r="C34" s="246"/>
      <c r="D34" s="156"/>
      <c r="E34" s="148" t="s">
        <v>205</v>
      </c>
      <c r="F34" s="149"/>
      <c r="G34" s="150"/>
      <c r="H34" s="150"/>
      <c r="I34" s="150"/>
      <c r="J34" s="150"/>
      <c r="K34" s="150"/>
      <c r="L34" s="151"/>
      <c r="M34" s="129">
        <f t="shared" si="0"/>
        <v>0</v>
      </c>
      <c r="N34" s="130">
        <f t="shared" si="1"/>
        <v>0</v>
      </c>
      <c r="O34" s="247"/>
      <c r="P34" s="249"/>
    </row>
    <row r="35" spans="2:16" ht="20.399999999999999" x14ac:dyDescent="0.5">
      <c r="B35" s="246"/>
      <c r="C35" s="246"/>
      <c r="D35" s="154" t="s">
        <v>206</v>
      </c>
      <c r="E35" s="155" t="s">
        <v>207</v>
      </c>
      <c r="F35" s="149"/>
      <c r="G35" s="150"/>
      <c r="H35" s="150"/>
      <c r="I35" s="150"/>
      <c r="J35" s="150"/>
      <c r="K35" s="150"/>
      <c r="L35" s="151"/>
      <c r="M35" s="129">
        <f t="shared" si="0"/>
        <v>0</v>
      </c>
      <c r="N35" s="130">
        <f t="shared" si="1"/>
        <v>0</v>
      </c>
      <c r="O35" s="247"/>
      <c r="P35" s="249"/>
    </row>
    <row r="36" spans="2:16" x14ac:dyDescent="0.5">
      <c r="B36" s="246"/>
      <c r="C36" s="246"/>
      <c r="D36" s="156"/>
      <c r="E36" s="148" t="s">
        <v>208</v>
      </c>
      <c r="F36" s="149"/>
      <c r="G36" s="150"/>
      <c r="H36" s="150"/>
      <c r="I36" s="150"/>
      <c r="J36" s="150"/>
      <c r="K36" s="150"/>
      <c r="L36" s="151"/>
      <c r="M36" s="129">
        <f t="shared" si="0"/>
        <v>0</v>
      </c>
      <c r="N36" s="130">
        <f t="shared" si="1"/>
        <v>0</v>
      </c>
      <c r="O36" s="247"/>
      <c r="P36" s="249"/>
    </row>
    <row r="37" spans="2:16" x14ac:dyDescent="0.5">
      <c r="B37" s="246"/>
      <c r="C37" s="246"/>
      <c r="D37" s="156"/>
      <c r="E37" s="148" t="s">
        <v>209</v>
      </c>
      <c r="F37" s="149"/>
      <c r="G37" s="150"/>
      <c r="H37" s="150"/>
      <c r="I37" s="150"/>
      <c r="J37" s="150"/>
      <c r="K37" s="150"/>
      <c r="L37" s="151"/>
      <c r="M37" s="129">
        <f t="shared" si="0"/>
        <v>0</v>
      </c>
      <c r="N37" s="130">
        <f t="shared" si="1"/>
        <v>0</v>
      </c>
      <c r="O37" s="247"/>
      <c r="P37" s="249"/>
    </row>
    <row r="38" spans="2:16" x14ac:dyDescent="0.5">
      <c r="B38" s="246"/>
      <c r="C38" s="246"/>
      <c r="D38" s="156"/>
      <c r="E38" s="148" t="s">
        <v>210</v>
      </c>
      <c r="F38" s="149"/>
      <c r="G38" s="150"/>
      <c r="H38" s="150"/>
      <c r="I38" s="150"/>
      <c r="J38" s="150"/>
      <c r="K38" s="150"/>
      <c r="L38" s="151"/>
      <c r="M38" s="129">
        <f t="shared" si="0"/>
        <v>0</v>
      </c>
      <c r="N38" s="130">
        <f t="shared" si="1"/>
        <v>0</v>
      </c>
      <c r="O38" s="247"/>
      <c r="P38" s="249"/>
    </row>
    <row r="39" spans="2:16" x14ac:dyDescent="0.5">
      <c r="B39" s="246"/>
      <c r="C39" s="246"/>
      <c r="D39" s="156"/>
      <c r="E39" s="148" t="s">
        <v>211</v>
      </c>
      <c r="F39" s="149"/>
      <c r="G39" s="150"/>
      <c r="H39" s="150"/>
      <c r="I39" s="150"/>
      <c r="J39" s="150"/>
      <c r="K39" s="150"/>
      <c r="L39" s="151"/>
      <c r="M39" s="129">
        <f t="shared" si="0"/>
        <v>0</v>
      </c>
      <c r="N39" s="130">
        <f t="shared" si="1"/>
        <v>0</v>
      </c>
      <c r="O39" s="247"/>
      <c r="P39" s="249"/>
    </row>
    <row r="40" spans="2:16" x14ac:dyDescent="0.5">
      <c r="B40" s="240"/>
      <c r="C40" s="240"/>
      <c r="D40" s="157"/>
      <c r="E40" s="138" t="s">
        <v>212</v>
      </c>
      <c r="F40" s="139"/>
      <c r="G40" s="140"/>
      <c r="H40" s="140"/>
      <c r="I40" s="140"/>
      <c r="J40" s="140"/>
      <c r="K40" s="140"/>
      <c r="L40" s="141"/>
      <c r="M40" s="142">
        <f t="shared" si="0"/>
        <v>0</v>
      </c>
      <c r="N40" s="143">
        <f t="shared" si="1"/>
        <v>0</v>
      </c>
      <c r="O40" s="242"/>
      <c r="P40" s="244"/>
    </row>
    <row r="41" spans="2:16" ht="20.399999999999999" x14ac:dyDescent="0.5">
      <c r="B41" s="239" t="s">
        <v>130</v>
      </c>
      <c r="C41" s="251" t="s">
        <v>213</v>
      </c>
      <c r="D41" s="158" t="s">
        <v>214</v>
      </c>
      <c r="E41" s="145" t="s">
        <v>215</v>
      </c>
      <c r="F41" s="149"/>
      <c r="G41" s="150"/>
      <c r="H41" s="150"/>
      <c r="I41" s="150"/>
      <c r="J41" s="150"/>
      <c r="K41" s="150"/>
      <c r="L41" s="151"/>
      <c r="M41" s="123">
        <f t="shared" si="0"/>
        <v>0</v>
      </c>
      <c r="N41" s="124">
        <f t="shared" si="1"/>
        <v>0</v>
      </c>
      <c r="O41" s="241">
        <f>SUM(M41:M58)</f>
        <v>0</v>
      </c>
      <c r="P41" s="243">
        <f>O41/O91</f>
        <v>0</v>
      </c>
    </row>
    <row r="42" spans="2:16" ht="20.399999999999999" x14ac:dyDescent="0.5">
      <c r="B42" s="246"/>
      <c r="C42" s="252"/>
      <c r="D42" s="159" t="s">
        <v>216</v>
      </c>
      <c r="E42" s="155" t="s">
        <v>217</v>
      </c>
      <c r="F42" s="149"/>
      <c r="G42" s="150"/>
      <c r="H42" s="150"/>
      <c r="I42" s="150"/>
      <c r="J42" s="150"/>
      <c r="K42" s="150"/>
      <c r="L42" s="151"/>
      <c r="M42" s="129">
        <f t="shared" si="0"/>
        <v>0</v>
      </c>
      <c r="N42" s="160">
        <f t="shared" si="1"/>
        <v>0</v>
      </c>
      <c r="O42" s="247"/>
      <c r="P42" s="249"/>
    </row>
    <row r="43" spans="2:16" ht="20.399999999999999" x14ac:dyDescent="0.5">
      <c r="B43" s="246"/>
      <c r="C43" s="252"/>
      <c r="D43" s="159" t="s">
        <v>218</v>
      </c>
      <c r="E43" s="155" t="s">
        <v>219</v>
      </c>
      <c r="F43" s="149"/>
      <c r="G43" s="150"/>
      <c r="H43" s="150"/>
      <c r="I43" s="150"/>
      <c r="J43" s="150"/>
      <c r="K43" s="150"/>
      <c r="L43" s="151"/>
      <c r="M43" s="129">
        <f t="shared" si="0"/>
        <v>0</v>
      </c>
      <c r="N43" s="160">
        <f t="shared" si="1"/>
        <v>0</v>
      </c>
      <c r="O43" s="247"/>
      <c r="P43" s="249"/>
    </row>
    <row r="44" spans="2:16" x14ac:dyDescent="0.5">
      <c r="B44" s="246"/>
      <c r="C44" s="252"/>
      <c r="D44" s="161"/>
      <c r="E44" s="148" t="s">
        <v>220</v>
      </c>
      <c r="F44" s="149"/>
      <c r="G44" s="150"/>
      <c r="H44" s="150"/>
      <c r="I44" s="150"/>
      <c r="J44" s="150"/>
      <c r="K44" s="150"/>
      <c r="L44" s="151"/>
      <c r="M44" s="129">
        <f t="shared" si="0"/>
        <v>0</v>
      </c>
      <c r="N44" s="160">
        <f t="shared" si="1"/>
        <v>0</v>
      </c>
      <c r="O44" s="247"/>
      <c r="P44" s="249"/>
    </row>
    <row r="45" spans="2:16" x14ac:dyDescent="0.5">
      <c r="B45" s="246"/>
      <c r="C45" s="252"/>
      <c r="D45" s="161"/>
      <c r="E45" s="148" t="s">
        <v>221</v>
      </c>
      <c r="F45" s="149"/>
      <c r="G45" s="150"/>
      <c r="H45" s="150"/>
      <c r="I45" s="150"/>
      <c r="J45" s="150"/>
      <c r="K45" s="150"/>
      <c r="L45" s="151"/>
      <c r="M45" s="129">
        <f t="shared" si="0"/>
        <v>0</v>
      </c>
      <c r="N45" s="160">
        <f t="shared" si="1"/>
        <v>0</v>
      </c>
      <c r="O45" s="247"/>
      <c r="P45" s="249"/>
    </row>
    <row r="46" spans="2:16" x14ac:dyDescent="0.5">
      <c r="B46" s="246"/>
      <c r="C46" s="252"/>
      <c r="D46" s="161"/>
      <c r="E46" s="148" t="s">
        <v>222</v>
      </c>
      <c r="F46" s="149"/>
      <c r="G46" s="150"/>
      <c r="H46" s="150"/>
      <c r="I46" s="150"/>
      <c r="J46" s="150"/>
      <c r="K46" s="150"/>
      <c r="L46" s="151"/>
      <c r="M46" s="129">
        <f t="shared" si="0"/>
        <v>0</v>
      </c>
      <c r="N46" s="160">
        <f t="shared" si="1"/>
        <v>0</v>
      </c>
      <c r="O46" s="247"/>
      <c r="P46" s="249"/>
    </row>
    <row r="47" spans="2:16" x14ac:dyDescent="0.5">
      <c r="B47" s="246"/>
      <c r="C47" s="252"/>
      <c r="D47" s="161"/>
      <c r="E47" s="148" t="s">
        <v>223</v>
      </c>
      <c r="F47" s="149"/>
      <c r="G47" s="150"/>
      <c r="H47" s="150"/>
      <c r="I47" s="150"/>
      <c r="J47" s="150"/>
      <c r="K47" s="150"/>
      <c r="L47" s="151"/>
      <c r="M47" s="129">
        <f t="shared" si="0"/>
        <v>0</v>
      </c>
      <c r="N47" s="160">
        <f t="shared" si="1"/>
        <v>0</v>
      </c>
      <c r="O47" s="247"/>
      <c r="P47" s="249"/>
    </row>
    <row r="48" spans="2:16" ht="20.399999999999999" x14ac:dyDescent="0.5">
      <c r="B48" s="246"/>
      <c r="C48" s="252"/>
      <c r="D48" s="159" t="s">
        <v>224</v>
      </c>
      <c r="E48" s="155" t="s">
        <v>225</v>
      </c>
      <c r="F48" s="149"/>
      <c r="G48" s="150"/>
      <c r="H48" s="150"/>
      <c r="I48" s="150"/>
      <c r="J48" s="150"/>
      <c r="K48" s="150"/>
      <c r="L48" s="151"/>
      <c r="M48" s="129">
        <f t="shared" si="0"/>
        <v>0</v>
      </c>
      <c r="N48" s="160">
        <f t="shared" si="1"/>
        <v>0</v>
      </c>
      <c r="O48" s="247"/>
      <c r="P48" s="249"/>
    </row>
    <row r="49" spans="2:16" ht="20.399999999999999" x14ac:dyDescent="0.5">
      <c r="B49" s="246"/>
      <c r="C49" s="252"/>
      <c r="D49" s="159" t="s">
        <v>226</v>
      </c>
      <c r="E49" s="155" t="s">
        <v>227</v>
      </c>
      <c r="F49" s="149"/>
      <c r="G49" s="150"/>
      <c r="H49" s="150"/>
      <c r="I49" s="150"/>
      <c r="J49" s="150"/>
      <c r="K49" s="150"/>
      <c r="L49" s="151"/>
      <c r="M49" s="129">
        <f t="shared" si="0"/>
        <v>0</v>
      </c>
      <c r="N49" s="160">
        <f t="shared" si="1"/>
        <v>0</v>
      </c>
      <c r="O49" s="247"/>
      <c r="P49" s="249"/>
    </row>
    <row r="50" spans="2:16" x14ac:dyDescent="0.5">
      <c r="B50" s="246"/>
      <c r="C50" s="252"/>
      <c r="D50" s="161"/>
      <c r="E50" s="148" t="s">
        <v>228</v>
      </c>
      <c r="F50" s="149"/>
      <c r="G50" s="150"/>
      <c r="H50" s="150"/>
      <c r="I50" s="150"/>
      <c r="J50" s="150"/>
      <c r="K50" s="150"/>
      <c r="L50" s="151"/>
      <c r="M50" s="129">
        <f t="shared" si="0"/>
        <v>0</v>
      </c>
      <c r="N50" s="160">
        <f t="shared" si="1"/>
        <v>0</v>
      </c>
      <c r="O50" s="247"/>
      <c r="P50" s="249"/>
    </row>
    <row r="51" spans="2:16" x14ac:dyDescent="0.5">
      <c r="B51" s="246"/>
      <c r="C51" s="252"/>
      <c r="D51" s="161"/>
      <c r="E51" s="148" t="s">
        <v>229</v>
      </c>
      <c r="F51" s="149"/>
      <c r="G51" s="150"/>
      <c r="H51" s="150"/>
      <c r="I51" s="150"/>
      <c r="J51" s="150"/>
      <c r="K51" s="150"/>
      <c r="L51" s="151"/>
      <c r="M51" s="129">
        <f t="shared" si="0"/>
        <v>0</v>
      </c>
      <c r="N51" s="160">
        <f t="shared" si="1"/>
        <v>0</v>
      </c>
      <c r="O51" s="247"/>
      <c r="P51" s="249"/>
    </row>
    <row r="52" spans="2:16" ht="20.399999999999999" x14ac:dyDescent="0.5">
      <c r="B52" s="246"/>
      <c r="C52" s="252"/>
      <c r="D52" s="159" t="s">
        <v>230</v>
      </c>
      <c r="E52" s="155" t="s">
        <v>231</v>
      </c>
      <c r="F52" s="149"/>
      <c r="G52" s="150"/>
      <c r="H52" s="150"/>
      <c r="I52" s="150"/>
      <c r="J52" s="150"/>
      <c r="K52" s="150"/>
      <c r="L52" s="151"/>
      <c r="M52" s="129">
        <f t="shared" si="0"/>
        <v>0</v>
      </c>
      <c r="N52" s="160">
        <f t="shared" si="1"/>
        <v>0</v>
      </c>
      <c r="O52" s="247"/>
      <c r="P52" s="249"/>
    </row>
    <row r="53" spans="2:16" x14ac:dyDescent="0.5">
      <c r="B53" s="246"/>
      <c r="C53" s="252"/>
      <c r="D53" s="161"/>
      <c r="E53" s="148" t="s">
        <v>232</v>
      </c>
      <c r="F53" s="149"/>
      <c r="G53" s="150"/>
      <c r="H53" s="150"/>
      <c r="I53" s="150"/>
      <c r="J53" s="150"/>
      <c r="K53" s="150"/>
      <c r="L53" s="151"/>
      <c r="M53" s="129">
        <f t="shared" si="0"/>
        <v>0</v>
      </c>
      <c r="N53" s="160">
        <f t="shared" si="1"/>
        <v>0</v>
      </c>
      <c r="O53" s="247"/>
      <c r="P53" s="249"/>
    </row>
    <row r="54" spans="2:16" x14ac:dyDescent="0.5">
      <c r="B54" s="246"/>
      <c r="C54" s="252"/>
      <c r="D54" s="161"/>
      <c r="E54" s="148" t="s">
        <v>233</v>
      </c>
      <c r="F54" s="149"/>
      <c r="G54" s="150"/>
      <c r="H54" s="150"/>
      <c r="I54" s="150"/>
      <c r="J54" s="150"/>
      <c r="K54" s="150"/>
      <c r="L54" s="151"/>
      <c r="M54" s="129">
        <f t="shared" si="0"/>
        <v>0</v>
      </c>
      <c r="N54" s="160">
        <f t="shared" si="1"/>
        <v>0</v>
      </c>
      <c r="O54" s="247"/>
      <c r="P54" s="249"/>
    </row>
    <row r="55" spans="2:16" ht="20.399999999999999" x14ac:dyDescent="0.5">
      <c r="B55" s="246"/>
      <c r="C55" s="252"/>
      <c r="D55" s="159" t="s">
        <v>234</v>
      </c>
      <c r="E55" s="155" t="s">
        <v>235</v>
      </c>
      <c r="F55" s="149"/>
      <c r="G55" s="150"/>
      <c r="H55" s="150"/>
      <c r="I55" s="150"/>
      <c r="J55" s="150"/>
      <c r="K55" s="150"/>
      <c r="L55" s="151"/>
      <c r="M55" s="129">
        <f t="shared" si="0"/>
        <v>0</v>
      </c>
      <c r="N55" s="160">
        <f t="shared" si="1"/>
        <v>0</v>
      </c>
      <c r="O55" s="247"/>
      <c r="P55" s="249"/>
    </row>
    <row r="56" spans="2:16" x14ac:dyDescent="0.5">
      <c r="B56" s="246"/>
      <c r="C56" s="252"/>
      <c r="D56" s="161"/>
      <c r="E56" s="148" t="s">
        <v>236</v>
      </c>
      <c r="F56" s="149"/>
      <c r="G56" s="150"/>
      <c r="H56" s="150"/>
      <c r="I56" s="150"/>
      <c r="J56" s="150"/>
      <c r="K56" s="150"/>
      <c r="L56" s="151"/>
      <c r="M56" s="129">
        <f t="shared" si="0"/>
        <v>0</v>
      </c>
      <c r="N56" s="160">
        <f t="shared" si="1"/>
        <v>0</v>
      </c>
      <c r="O56" s="247"/>
      <c r="P56" s="249"/>
    </row>
    <row r="57" spans="2:16" x14ac:dyDescent="0.5">
      <c r="B57" s="246"/>
      <c r="C57" s="252"/>
      <c r="D57" s="161"/>
      <c r="E57" s="148" t="s">
        <v>237</v>
      </c>
      <c r="F57" s="149"/>
      <c r="G57" s="150"/>
      <c r="H57" s="150"/>
      <c r="I57" s="150"/>
      <c r="J57" s="150"/>
      <c r="K57" s="150"/>
      <c r="L57" s="151"/>
      <c r="M57" s="129">
        <f t="shared" si="0"/>
        <v>0</v>
      </c>
      <c r="N57" s="130">
        <f t="shared" si="1"/>
        <v>0</v>
      </c>
      <c r="O57" s="248"/>
      <c r="P57" s="250"/>
    </row>
    <row r="58" spans="2:16" x14ac:dyDescent="0.5">
      <c r="B58" s="246"/>
      <c r="C58" s="252"/>
      <c r="D58" s="161"/>
      <c r="E58" s="138" t="s">
        <v>238</v>
      </c>
      <c r="F58" s="162"/>
      <c r="G58" s="163"/>
      <c r="H58" s="163"/>
      <c r="I58" s="163"/>
      <c r="J58" s="163"/>
      <c r="K58" s="163"/>
      <c r="L58" s="164"/>
      <c r="M58" s="142">
        <f t="shared" si="0"/>
        <v>0</v>
      </c>
      <c r="N58" s="143">
        <f t="shared" si="1"/>
        <v>0</v>
      </c>
      <c r="O58" s="242"/>
      <c r="P58" s="244"/>
    </row>
    <row r="59" spans="2:16" ht="20.399999999999999" x14ac:dyDescent="0.5">
      <c r="B59" s="251" t="s">
        <v>159</v>
      </c>
      <c r="C59" s="251" t="s">
        <v>239</v>
      </c>
      <c r="D59" s="144" t="s">
        <v>240</v>
      </c>
      <c r="E59" s="145" t="s">
        <v>241</v>
      </c>
      <c r="F59" s="146"/>
      <c r="G59" s="121"/>
      <c r="H59" s="121"/>
      <c r="I59" s="121"/>
      <c r="J59" s="121"/>
      <c r="K59" s="121"/>
      <c r="L59" s="122"/>
      <c r="M59" s="123">
        <f t="shared" si="0"/>
        <v>0</v>
      </c>
      <c r="N59" s="124">
        <f t="shared" si="1"/>
        <v>0</v>
      </c>
      <c r="O59" s="241">
        <f>SUM(M59:M68)</f>
        <v>4</v>
      </c>
      <c r="P59" s="243">
        <f>O59/O91</f>
        <v>0.21052631578947367</v>
      </c>
    </row>
    <row r="60" spans="2:16" ht="20.399999999999999" x14ac:dyDescent="0.5">
      <c r="B60" s="252"/>
      <c r="C60" s="252"/>
      <c r="D60" s="165" t="s">
        <v>242</v>
      </c>
      <c r="E60" s="155" t="s">
        <v>243</v>
      </c>
      <c r="F60" s="149"/>
      <c r="G60" s="150"/>
      <c r="H60" s="150"/>
      <c r="I60" s="150"/>
      <c r="J60" s="150"/>
      <c r="K60" s="150"/>
      <c r="L60" s="151"/>
      <c r="M60" s="129">
        <f t="shared" si="0"/>
        <v>0</v>
      </c>
      <c r="N60" s="130">
        <f t="shared" si="1"/>
        <v>0</v>
      </c>
      <c r="O60" s="248"/>
      <c r="P60" s="250"/>
    </row>
    <row r="61" spans="2:16" x14ac:dyDescent="0.5">
      <c r="B61" s="252"/>
      <c r="C61" s="252"/>
      <c r="D61" s="161"/>
      <c r="E61" s="148" t="s">
        <v>244</v>
      </c>
      <c r="F61" s="149"/>
      <c r="G61" s="150"/>
      <c r="H61" s="150"/>
      <c r="I61" s="150"/>
      <c r="J61" s="150"/>
      <c r="K61" s="150"/>
      <c r="L61" s="151"/>
      <c r="M61" s="129">
        <f t="shared" si="0"/>
        <v>0</v>
      </c>
      <c r="N61" s="130">
        <f t="shared" si="1"/>
        <v>0</v>
      </c>
      <c r="O61" s="248"/>
      <c r="P61" s="250"/>
    </row>
    <row r="62" spans="2:16" x14ac:dyDescent="0.5">
      <c r="B62" s="252"/>
      <c r="C62" s="252"/>
      <c r="D62" s="161"/>
      <c r="E62" s="148" t="s">
        <v>245</v>
      </c>
      <c r="F62" s="149"/>
      <c r="G62" s="150"/>
      <c r="H62" s="150"/>
      <c r="I62" s="150"/>
      <c r="J62" s="150"/>
      <c r="K62" s="150"/>
      <c r="L62" s="151"/>
      <c r="M62" s="129">
        <f t="shared" si="0"/>
        <v>0</v>
      </c>
      <c r="N62" s="130">
        <f t="shared" si="1"/>
        <v>0</v>
      </c>
      <c r="O62" s="248"/>
      <c r="P62" s="250"/>
    </row>
    <row r="63" spans="2:16" ht="20.399999999999999" x14ac:dyDescent="0.5">
      <c r="B63" s="252"/>
      <c r="C63" s="252"/>
      <c r="D63" s="165" t="s">
        <v>246</v>
      </c>
      <c r="E63" s="155" t="s">
        <v>247</v>
      </c>
      <c r="F63" s="149"/>
      <c r="G63" s="150"/>
      <c r="H63" s="150"/>
      <c r="I63" s="150"/>
      <c r="J63" s="150"/>
      <c r="K63" s="150"/>
      <c r="L63" s="151"/>
      <c r="M63" s="129">
        <f t="shared" si="0"/>
        <v>0</v>
      </c>
      <c r="N63" s="130">
        <f t="shared" si="1"/>
        <v>0</v>
      </c>
      <c r="O63" s="248"/>
      <c r="P63" s="250"/>
    </row>
    <row r="64" spans="2:16" x14ac:dyDescent="0.5">
      <c r="B64" s="252"/>
      <c r="C64" s="252"/>
      <c r="D64" s="161"/>
      <c r="E64" s="148" t="s">
        <v>248</v>
      </c>
      <c r="F64" s="149"/>
      <c r="G64" s="150"/>
      <c r="H64" s="150"/>
      <c r="I64" s="150"/>
      <c r="J64" s="150"/>
      <c r="K64" s="150"/>
      <c r="L64" s="151"/>
      <c r="M64" s="129">
        <f t="shared" si="0"/>
        <v>0</v>
      </c>
      <c r="N64" s="130">
        <f t="shared" si="1"/>
        <v>0</v>
      </c>
      <c r="O64" s="248"/>
      <c r="P64" s="250"/>
    </row>
    <row r="65" spans="2:16" x14ac:dyDescent="0.5">
      <c r="B65" s="252"/>
      <c r="C65" s="252"/>
      <c r="D65" s="161"/>
      <c r="E65" s="148" t="s">
        <v>249</v>
      </c>
      <c r="F65" s="149"/>
      <c r="G65" s="150"/>
      <c r="H65" s="150"/>
      <c r="I65" s="150"/>
      <c r="J65" s="150"/>
      <c r="K65" s="150"/>
      <c r="L65" s="151">
        <v>4</v>
      </c>
      <c r="M65" s="129">
        <f t="shared" si="0"/>
        <v>4</v>
      </c>
      <c r="N65" s="130">
        <f t="shared" si="1"/>
        <v>0.21052631578947367</v>
      </c>
      <c r="O65" s="248"/>
      <c r="P65" s="250"/>
    </row>
    <row r="66" spans="2:16" ht="20.399999999999999" x14ac:dyDescent="0.5">
      <c r="B66" s="252"/>
      <c r="C66" s="252"/>
      <c r="D66" s="165" t="s">
        <v>250</v>
      </c>
      <c r="E66" s="155" t="s">
        <v>251</v>
      </c>
      <c r="F66" s="149"/>
      <c r="G66" s="150"/>
      <c r="H66" s="150"/>
      <c r="I66" s="150"/>
      <c r="J66" s="150"/>
      <c r="K66" s="150"/>
      <c r="L66" s="151"/>
      <c r="M66" s="129">
        <f t="shared" si="0"/>
        <v>0</v>
      </c>
      <c r="N66" s="130">
        <f t="shared" si="1"/>
        <v>0</v>
      </c>
      <c r="O66" s="248"/>
      <c r="P66" s="250"/>
    </row>
    <row r="67" spans="2:16" ht="20.399999999999999" x14ac:dyDescent="0.5">
      <c r="B67" s="252"/>
      <c r="C67" s="252"/>
      <c r="D67" s="165" t="s">
        <v>252</v>
      </c>
      <c r="E67" s="155" t="s">
        <v>253</v>
      </c>
      <c r="F67" s="149"/>
      <c r="G67" s="150"/>
      <c r="H67" s="150"/>
      <c r="I67" s="150"/>
      <c r="J67" s="150"/>
      <c r="K67" s="150"/>
      <c r="L67" s="151"/>
      <c r="M67" s="129">
        <f t="shared" si="0"/>
        <v>0</v>
      </c>
      <c r="N67" s="130">
        <f t="shared" si="1"/>
        <v>0</v>
      </c>
      <c r="O67" s="248"/>
      <c r="P67" s="250"/>
    </row>
    <row r="68" spans="2:16" ht="20.399999999999999" x14ac:dyDescent="0.5">
      <c r="B68" s="253"/>
      <c r="C68" s="253"/>
      <c r="D68" s="166" t="s">
        <v>254</v>
      </c>
      <c r="E68" s="167" t="s">
        <v>255</v>
      </c>
      <c r="F68" s="168"/>
      <c r="G68" s="169"/>
      <c r="H68" s="169"/>
      <c r="I68" s="169"/>
      <c r="J68" s="169"/>
      <c r="K68" s="169"/>
      <c r="L68" s="170"/>
      <c r="M68" s="142">
        <f t="shared" si="0"/>
        <v>0</v>
      </c>
      <c r="N68" s="143">
        <f t="shared" si="1"/>
        <v>0</v>
      </c>
      <c r="O68" s="242"/>
      <c r="P68" s="244"/>
    </row>
    <row r="69" spans="2:16" ht="20.399999999999999" x14ac:dyDescent="0.5">
      <c r="B69" s="239" t="s">
        <v>160</v>
      </c>
      <c r="C69" s="239" t="s">
        <v>256</v>
      </c>
      <c r="D69" s="171" t="s">
        <v>257</v>
      </c>
      <c r="E69" s="145" t="s">
        <v>258</v>
      </c>
      <c r="F69" s="146"/>
      <c r="G69" s="121"/>
      <c r="H69" s="121"/>
      <c r="I69" s="121"/>
      <c r="J69" s="121"/>
      <c r="K69" s="121"/>
      <c r="L69" s="122"/>
      <c r="M69" s="123">
        <f t="shared" si="0"/>
        <v>0</v>
      </c>
      <c r="N69" s="124">
        <f t="shared" si="1"/>
        <v>0</v>
      </c>
      <c r="O69" s="241">
        <f>SUM(M69:M73)</f>
        <v>0</v>
      </c>
      <c r="P69" s="243">
        <f>O69/O91</f>
        <v>0</v>
      </c>
    </row>
    <row r="70" spans="2:16" ht="20.399999999999999" x14ac:dyDescent="0.5">
      <c r="B70" s="246"/>
      <c r="C70" s="246"/>
      <c r="D70" s="172" t="s">
        <v>259</v>
      </c>
      <c r="E70" s="155" t="s">
        <v>260</v>
      </c>
      <c r="F70" s="149"/>
      <c r="G70" s="150"/>
      <c r="H70" s="150"/>
      <c r="I70" s="150"/>
      <c r="J70" s="150"/>
      <c r="K70" s="150"/>
      <c r="L70" s="151"/>
      <c r="M70" s="129">
        <f t="shared" ref="M70:M90" si="2">SUM(F70:L70)</f>
        <v>0</v>
      </c>
      <c r="N70" s="130">
        <f t="shared" ref="N70:N90" si="3">M70/$M$91</f>
        <v>0</v>
      </c>
      <c r="O70" s="247"/>
      <c r="P70" s="249"/>
    </row>
    <row r="71" spans="2:16" ht="20.399999999999999" x14ac:dyDescent="0.5">
      <c r="B71" s="246"/>
      <c r="C71" s="246"/>
      <c r="D71" s="172" t="s">
        <v>261</v>
      </c>
      <c r="E71" s="155" t="s">
        <v>262</v>
      </c>
      <c r="F71" s="149"/>
      <c r="G71" s="150"/>
      <c r="H71" s="150"/>
      <c r="I71" s="150"/>
      <c r="J71" s="150"/>
      <c r="K71" s="150"/>
      <c r="L71" s="151"/>
      <c r="M71" s="129">
        <f t="shared" si="2"/>
        <v>0</v>
      </c>
      <c r="N71" s="130">
        <f t="shared" si="3"/>
        <v>0</v>
      </c>
      <c r="O71" s="248"/>
      <c r="P71" s="250"/>
    </row>
    <row r="72" spans="2:16" ht="20.399999999999999" x14ac:dyDescent="0.5">
      <c r="B72" s="246"/>
      <c r="C72" s="246"/>
      <c r="D72" s="172" t="s">
        <v>263</v>
      </c>
      <c r="E72" s="173" t="s">
        <v>264</v>
      </c>
      <c r="F72" s="149"/>
      <c r="G72" s="150"/>
      <c r="H72" s="150"/>
      <c r="I72" s="150"/>
      <c r="J72" s="150"/>
      <c r="K72" s="150"/>
      <c r="L72" s="151"/>
      <c r="M72" s="129">
        <f t="shared" si="2"/>
        <v>0</v>
      </c>
      <c r="N72" s="130">
        <f t="shared" si="3"/>
        <v>0</v>
      </c>
      <c r="O72" s="248"/>
      <c r="P72" s="250"/>
    </row>
    <row r="73" spans="2:16" ht="20.399999999999999" x14ac:dyDescent="0.5">
      <c r="B73" s="240"/>
      <c r="C73" s="240"/>
      <c r="D73" s="174" t="s">
        <v>265</v>
      </c>
      <c r="E73" s="167" t="s">
        <v>266</v>
      </c>
      <c r="F73" s="139"/>
      <c r="G73" s="140"/>
      <c r="H73" s="140"/>
      <c r="I73" s="140"/>
      <c r="J73" s="140"/>
      <c r="K73" s="140"/>
      <c r="L73" s="141"/>
      <c r="M73" s="142">
        <f t="shared" si="2"/>
        <v>0</v>
      </c>
      <c r="N73" s="143">
        <f t="shared" si="3"/>
        <v>0</v>
      </c>
      <c r="O73" s="242"/>
      <c r="P73" s="244"/>
    </row>
    <row r="74" spans="2:16" ht="20.399999999999999" x14ac:dyDescent="0.5">
      <c r="B74" s="239" t="s">
        <v>267</v>
      </c>
      <c r="C74" s="239" t="s">
        <v>268</v>
      </c>
      <c r="D74" s="171" t="s">
        <v>269</v>
      </c>
      <c r="E74" s="145" t="s">
        <v>270</v>
      </c>
      <c r="F74" s="146"/>
      <c r="G74" s="121"/>
      <c r="H74" s="121"/>
      <c r="I74" s="121"/>
      <c r="J74" s="121"/>
      <c r="K74" s="121"/>
      <c r="L74" s="175"/>
      <c r="M74" s="176">
        <f t="shared" si="2"/>
        <v>0</v>
      </c>
      <c r="N74" s="124">
        <f t="shared" si="3"/>
        <v>0</v>
      </c>
      <c r="O74" s="241">
        <f>SUM(M74:M86)</f>
        <v>0</v>
      </c>
      <c r="P74" s="243">
        <f>O74/O91</f>
        <v>0</v>
      </c>
    </row>
    <row r="75" spans="2:16" x14ac:dyDescent="0.5">
      <c r="B75" s="246"/>
      <c r="C75" s="246"/>
      <c r="D75" s="177"/>
      <c r="E75" s="178" t="s">
        <v>271</v>
      </c>
      <c r="F75" s="149"/>
      <c r="G75" s="150"/>
      <c r="H75" s="150"/>
      <c r="I75" s="150"/>
      <c r="J75" s="150"/>
      <c r="K75" s="150"/>
      <c r="L75" s="179"/>
      <c r="M75" s="129">
        <f t="shared" si="2"/>
        <v>0</v>
      </c>
      <c r="N75" s="130">
        <f t="shared" si="3"/>
        <v>0</v>
      </c>
      <c r="O75" s="247"/>
      <c r="P75" s="249"/>
    </row>
    <row r="76" spans="2:16" x14ac:dyDescent="0.5">
      <c r="B76" s="246"/>
      <c r="C76" s="246"/>
      <c r="D76" s="177"/>
      <c r="E76" s="178" t="s">
        <v>272</v>
      </c>
      <c r="F76" s="149"/>
      <c r="G76" s="150"/>
      <c r="H76" s="150"/>
      <c r="I76" s="150"/>
      <c r="J76" s="150"/>
      <c r="K76" s="150"/>
      <c r="L76" s="179"/>
      <c r="M76" s="129">
        <f t="shared" si="2"/>
        <v>0</v>
      </c>
      <c r="N76" s="130">
        <f t="shared" si="3"/>
        <v>0</v>
      </c>
      <c r="O76" s="247"/>
      <c r="P76" s="249"/>
    </row>
    <row r="77" spans="2:16" ht="20.399999999999999" x14ac:dyDescent="0.5">
      <c r="B77" s="246"/>
      <c r="C77" s="246"/>
      <c r="D77" s="172" t="s">
        <v>273</v>
      </c>
      <c r="E77" s="155" t="s">
        <v>274</v>
      </c>
      <c r="F77" s="149"/>
      <c r="G77" s="150"/>
      <c r="H77" s="150"/>
      <c r="I77" s="150"/>
      <c r="J77" s="150"/>
      <c r="K77" s="150"/>
      <c r="L77" s="179"/>
      <c r="M77" s="129">
        <f t="shared" si="2"/>
        <v>0</v>
      </c>
      <c r="N77" s="130">
        <f t="shared" si="3"/>
        <v>0</v>
      </c>
      <c r="O77" s="247"/>
      <c r="P77" s="249"/>
    </row>
    <row r="78" spans="2:16" x14ac:dyDescent="0.5">
      <c r="B78" s="246"/>
      <c r="C78" s="246"/>
      <c r="D78" s="180"/>
      <c r="E78" s="132" t="s">
        <v>275</v>
      </c>
      <c r="F78" s="149"/>
      <c r="G78" s="150"/>
      <c r="H78" s="150"/>
      <c r="I78" s="150"/>
      <c r="J78" s="150"/>
      <c r="K78" s="150"/>
      <c r="L78" s="179"/>
      <c r="M78" s="129">
        <f t="shared" si="2"/>
        <v>0</v>
      </c>
      <c r="N78" s="130">
        <f t="shared" si="3"/>
        <v>0</v>
      </c>
      <c r="O78" s="247"/>
      <c r="P78" s="249"/>
    </row>
    <row r="79" spans="2:16" x14ac:dyDescent="0.5">
      <c r="B79" s="246"/>
      <c r="C79" s="246"/>
      <c r="D79" s="180"/>
      <c r="E79" s="132" t="s">
        <v>276</v>
      </c>
      <c r="F79" s="149"/>
      <c r="G79" s="150"/>
      <c r="H79" s="150"/>
      <c r="I79" s="150"/>
      <c r="J79" s="150"/>
      <c r="K79" s="150"/>
      <c r="L79" s="179"/>
      <c r="M79" s="129">
        <f t="shared" si="2"/>
        <v>0</v>
      </c>
      <c r="N79" s="130">
        <f t="shared" si="3"/>
        <v>0</v>
      </c>
      <c r="O79" s="247"/>
      <c r="P79" s="249"/>
    </row>
    <row r="80" spans="2:16" ht="20.399999999999999" x14ac:dyDescent="0.5">
      <c r="B80" s="246"/>
      <c r="C80" s="246"/>
      <c r="D80" s="172" t="s">
        <v>277</v>
      </c>
      <c r="E80" s="155" t="s">
        <v>278</v>
      </c>
      <c r="F80" s="149"/>
      <c r="G80" s="150"/>
      <c r="H80" s="150"/>
      <c r="I80" s="150"/>
      <c r="J80" s="150"/>
      <c r="K80" s="150"/>
      <c r="L80" s="179"/>
      <c r="M80" s="129">
        <f t="shared" si="2"/>
        <v>0</v>
      </c>
      <c r="N80" s="130">
        <f t="shared" si="3"/>
        <v>0</v>
      </c>
      <c r="O80" s="247"/>
      <c r="P80" s="249"/>
    </row>
    <row r="81" spans="2:16" x14ac:dyDescent="0.5">
      <c r="B81" s="246"/>
      <c r="C81" s="246"/>
      <c r="D81" s="181"/>
      <c r="E81" s="182" t="s">
        <v>279</v>
      </c>
      <c r="F81" s="149"/>
      <c r="G81" s="150"/>
      <c r="H81" s="150"/>
      <c r="I81" s="150"/>
      <c r="J81" s="150"/>
      <c r="K81" s="150"/>
      <c r="L81" s="179"/>
      <c r="M81" s="129">
        <f t="shared" si="2"/>
        <v>0</v>
      </c>
      <c r="N81" s="130">
        <f t="shared" si="3"/>
        <v>0</v>
      </c>
      <c r="O81" s="247"/>
      <c r="P81" s="249"/>
    </row>
    <row r="82" spans="2:16" x14ac:dyDescent="0.5">
      <c r="B82" s="246"/>
      <c r="C82" s="246"/>
      <c r="D82" s="181"/>
      <c r="E82" s="182" t="s">
        <v>280</v>
      </c>
      <c r="F82" s="149"/>
      <c r="G82" s="150"/>
      <c r="H82" s="150"/>
      <c r="I82" s="150"/>
      <c r="J82" s="150"/>
      <c r="K82" s="150"/>
      <c r="L82" s="179"/>
      <c r="M82" s="129">
        <f t="shared" si="2"/>
        <v>0</v>
      </c>
      <c r="N82" s="130">
        <f t="shared" si="3"/>
        <v>0</v>
      </c>
      <c r="O82" s="247"/>
      <c r="P82" s="249"/>
    </row>
    <row r="83" spans="2:16" x14ac:dyDescent="0.5">
      <c r="B83" s="246"/>
      <c r="C83" s="246"/>
      <c r="D83" s="181"/>
      <c r="E83" s="182" t="s">
        <v>281</v>
      </c>
      <c r="F83" s="149"/>
      <c r="G83" s="150"/>
      <c r="H83" s="150"/>
      <c r="I83" s="150"/>
      <c r="J83" s="150"/>
      <c r="K83" s="150"/>
      <c r="L83" s="179"/>
      <c r="M83" s="129">
        <f t="shared" si="2"/>
        <v>0</v>
      </c>
      <c r="N83" s="130">
        <f t="shared" si="3"/>
        <v>0</v>
      </c>
      <c r="O83" s="247"/>
      <c r="P83" s="249"/>
    </row>
    <row r="84" spans="2:16" ht="20.399999999999999" x14ac:dyDescent="0.5">
      <c r="B84" s="246"/>
      <c r="C84" s="246"/>
      <c r="D84" s="172" t="s">
        <v>282</v>
      </c>
      <c r="E84" s="173" t="s">
        <v>283</v>
      </c>
      <c r="F84" s="149"/>
      <c r="G84" s="150"/>
      <c r="H84" s="150"/>
      <c r="I84" s="150"/>
      <c r="J84" s="150"/>
      <c r="K84" s="150"/>
      <c r="L84" s="179"/>
      <c r="M84" s="129">
        <f t="shared" si="2"/>
        <v>0</v>
      </c>
      <c r="N84" s="130">
        <f t="shared" si="3"/>
        <v>0</v>
      </c>
      <c r="O84" s="247"/>
      <c r="P84" s="249"/>
    </row>
    <row r="85" spans="2:16" x14ac:dyDescent="0.5">
      <c r="B85" s="246"/>
      <c r="C85" s="246"/>
      <c r="D85" s="181"/>
      <c r="E85" s="182" t="s">
        <v>284</v>
      </c>
      <c r="F85" s="149"/>
      <c r="G85" s="150"/>
      <c r="H85" s="150"/>
      <c r="I85" s="150"/>
      <c r="J85" s="150"/>
      <c r="K85" s="150"/>
      <c r="L85" s="179"/>
      <c r="M85" s="129">
        <f t="shared" si="2"/>
        <v>0</v>
      </c>
      <c r="N85" s="130">
        <f t="shared" si="3"/>
        <v>0</v>
      </c>
      <c r="O85" s="247"/>
      <c r="P85" s="249"/>
    </row>
    <row r="86" spans="2:16" x14ac:dyDescent="0.5">
      <c r="B86" s="240"/>
      <c r="C86" s="240"/>
      <c r="D86" s="183"/>
      <c r="E86" s="184" t="s">
        <v>285</v>
      </c>
      <c r="F86" s="168"/>
      <c r="G86" s="169"/>
      <c r="H86" s="169"/>
      <c r="I86" s="169"/>
      <c r="J86" s="169"/>
      <c r="K86" s="169"/>
      <c r="L86" s="170"/>
      <c r="M86" s="142">
        <f t="shared" si="2"/>
        <v>0</v>
      </c>
      <c r="N86" s="143">
        <f t="shared" si="3"/>
        <v>0</v>
      </c>
      <c r="O86" s="242"/>
      <c r="P86" s="244"/>
    </row>
    <row r="87" spans="2:16" ht="20.399999999999999" x14ac:dyDescent="0.5">
      <c r="B87" s="239" t="s">
        <v>286</v>
      </c>
      <c r="C87" s="239" t="s">
        <v>287</v>
      </c>
      <c r="D87" s="185" t="s">
        <v>288</v>
      </c>
      <c r="E87" s="145" t="s">
        <v>289</v>
      </c>
      <c r="F87" s="146"/>
      <c r="G87" s="121"/>
      <c r="H87" s="121"/>
      <c r="I87" s="121"/>
      <c r="J87" s="121"/>
      <c r="K87" s="121"/>
      <c r="L87" s="122"/>
      <c r="M87" s="176">
        <f t="shared" si="2"/>
        <v>0</v>
      </c>
      <c r="N87" s="124">
        <f t="shared" si="3"/>
        <v>0</v>
      </c>
      <c r="O87" s="241">
        <f>SUM(M87:M88)</f>
        <v>0</v>
      </c>
      <c r="P87" s="243">
        <f>O87/O91</f>
        <v>0</v>
      </c>
    </row>
    <row r="88" spans="2:16" ht="20.399999999999999" x14ac:dyDescent="0.5">
      <c r="B88" s="240"/>
      <c r="C88" s="240"/>
      <c r="D88" s="174" t="s">
        <v>290</v>
      </c>
      <c r="E88" s="167" t="s">
        <v>291</v>
      </c>
      <c r="F88" s="139"/>
      <c r="G88" s="140"/>
      <c r="H88" s="140"/>
      <c r="I88" s="140"/>
      <c r="J88" s="140"/>
      <c r="K88" s="140"/>
      <c r="L88" s="141"/>
      <c r="M88" s="142">
        <f t="shared" si="2"/>
        <v>0</v>
      </c>
      <c r="N88" s="143">
        <f t="shared" si="3"/>
        <v>0</v>
      </c>
      <c r="O88" s="242"/>
      <c r="P88" s="244"/>
    </row>
    <row r="89" spans="2:16" ht="20.399999999999999" x14ac:dyDescent="0.5">
      <c r="B89" s="137" t="s">
        <v>292</v>
      </c>
      <c r="C89" s="137" t="s">
        <v>293</v>
      </c>
      <c r="D89" s="186" t="s">
        <v>294</v>
      </c>
      <c r="E89" s="187" t="s">
        <v>295</v>
      </c>
      <c r="F89" s="168"/>
      <c r="G89" s="169"/>
      <c r="H89" s="169"/>
      <c r="I89" s="169"/>
      <c r="J89" s="169"/>
      <c r="K89" s="169"/>
      <c r="L89" s="170"/>
      <c r="M89" s="176">
        <f t="shared" si="2"/>
        <v>0</v>
      </c>
      <c r="N89" s="124">
        <f t="shared" si="3"/>
        <v>0</v>
      </c>
      <c r="O89" s="108">
        <f>M89</f>
        <v>0</v>
      </c>
      <c r="P89" s="188">
        <f>O89/O91</f>
        <v>0</v>
      </c>
    </row>
    <row r="90" spans="2:16" ht="20.399999999999999" x14ac:dyDescent="0.5">
      <c r="B90" s="137" t="s">
        <v>296</v>
      </c>
      <c r="C90" s="137" t="s">
        <v>297</v>
      </c>
      <c r="D90" s="189" t="s">
        <v>298</v>
      </c>
      <c r="E90" s="187" t="s">
        <v>299</v>
      </c>
      <c r="F90" s="168"/>
      <c r="G90" s="169"/>
      <c r="H90" s="169"/>
      <c r="I90" s="169"/>
      <c r="J90" s="169"/>
      <c r="K90" s="169"/>
      <c r="L90" s="170"/>
      <c r="M90" s="176">
        <f t="shared" si="2"/>
        <v>0</v>
      </c>
      <c r="N90" s="124">
        <f t="shared" si="3"/>
        <v>0</v>
      </c>
      <c r="O90" s="108">
        <f>M90</f>
        <v>0</v>
      </c>
      <c r="P90" s="188">
        <f>O90/O91</f>
        <v>0</v>
      </c>
    </row>
    <row r="91" spans="2:16" ht="20.399999999999999" x14ac:dyDescent="0.5">
      <c r="B91" s="245" t="s">
        <v>158</v>
      </c>
      <c r="C91" s="245"/>
      <c r="D91" s="240"/>
      <c r="E91" s="240"/>
      <c r="F91" s="190">
        <f>SUM(F6:F90)</f>
        <v>0</v>
      </c>
      <c r="G91" s="190">
        <f t="shared" ref="G91:L91" si="4">SUM(G6:G90)</f>
        <v>0</v>
      </c>
      <c r="H91" s="190">
        <f t="shared" si="4"/>
        <v>0</v>
      </c>
      <c r="I91" s="190">
        <f t="shared" si="4"/>
        <v>0</v>
      </c>
      <c r="J91" s="190">
        <f t="shared" si="4"/>
        <v>0</v>
      </c>
      <c r="K91" s="190">
        <f>SUM(K6:K90)</f>
        <v>0</v>
      </c>
      <c r="L91" s="191">
        <f t="shared" si="4"/>
        <v>19</v>
      </c>
      <c r="M91" s="192">
        <f>SUM(M6:M90)</f>
        <v>19</v>
      </c>
      <c r="N91" s="193">
        <f>SUM(N6:N90)</f>
        <v>1</v>
      </c>
      <c r="O91" s="190">
        <f>SUM(O6:O90)</f>
        <v>19</v>
      </c>
      <c r="P91" s="194">
        <f>SUM(P6:P90)</f>
        <v>1</v>
      </c>
    </row>
  </sheetData>
  <mergeCells count="36">
    <mergeCell ref="B2:P2"/>
    <mergeCell ref="B3:C5"/>
    <mergeCell ref="D3:E5"/>
    <mergeCell ref="F3:L4"/>
    <mergeCell ref="M3:P3"/>
    <mergeCell ref="M4:N4"/>
    <mergeCell ref="O4:P4"/>
    <mergeCell ref="B6:B13"/>
    <mergeCell ref="C6:C13"/>
    <mergeCell ref="O6:O13"/>
    <mergeCell ref="P6:P13"/>
    <mergeCell ref="B14:B40"/>
    <mergeCell ref="C14:C40"/>
    <mergeCell ref="O14:O40"/>
    <mergeCell ref="P14:P40"/>
    <mergeCell ref="B41:B58"/>
    <mergeCell ref="C41:C58"/>
    <mergeCell ref="O41:O58"/>
    <mergeCell ref="P41:P58"/>
    <mergeCell ref="B59:B68"/>
    <mergeCell ref="C59:C68"/>
    <mergeCell ref="O59:O68"/>
    <mergeCell ref="P59:P68"/>
    <mergeCell ref="B69:B73"/>
    <mergeCell ref="C69:C73"/>
    <mergeCell ref="O69:O73"/>
    <mergeCell ref="P69:P73"/>
    <mergeCell ref="B74:B86"/>
    <mergeCell ref="C74:C86"/>
    <mergeCell ref="O74:O86"/>
    <mergeCell ref="P74:P86"/>
    <mergeCell ref="B87:B88"/>
    <mergeCell ref="C87:C88"/>
    <mergeCell ref="O87:O88"/>
    <mergeCell ref="P87:P88"/>
    <mergeCell ref="B91:E91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C25A-FF35-4A11-BC0E-E14DF1DE100F}">
  <sheetPr>
    <tabColor rgb="FF92D050"/>
    <pageSetUpPr fitToPage="1"/>
  </sheetPr>
  <dimension ref="B2:P91"/>
  <sheetViews>
    <sheetView zoomScale="90" zoomScaleNormal="90" workbookViewId="0">
      <selection activeCell="E17" sqref="E17"/>
    </sheetView>
  </sheetViews>
  <sheetFormatPr defaultColWidth="8.69921875" defaultRowHeight="19.8" x14ac:dyDescent="0.5"/>
  <cols>
    <col min="1" max="1" width="2.59765625" style="115" customWidth="1"/>
    <col min="2" max="2" width="8.69921875" style="195"/>
    <col min="3" max="3" width="20.69921875" style="195" customWidth="1"/>
    <col min="4" max="4" width="8.69921875" style="195"/>
    <col min="5" max="5" width="61" style="195" customWidth="1"/>
    <col min="6" max="12" width="8.69921875" style="195"/>
    <col min="13" max="16" width="10.69921875" style="195" customWidth="1"/>
    <col min="17" max="16384" width="8.69921875" style="115"/>
  </cols>
  <sheetData>
    <row r="2" spans="2:16" ht="26.4" x14ac:dyDescent="0.5">
      <c r="B2" s="256" t="s">
        <v>311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</row>
    <row r="3" spans="2:16" ht="20.399999999999999" x14ac:dyDescent="0.5">
      <c r="B3" s="257" t="s">
        <v>155</v>
      </c>
      <c r="C3" s="258"/>
      <c r="D3" s="257" t="s">
        <v>156</v>
      </c>
      <c r="E3" s="258"/>
      <c r="F3" s="257" t="s">
        <v>157</v>
      </c>
      <c r="G3" s="263"/>
      <c r="H3" s="263"/>
      <c r="I3" s="263"/>
      <c r="J3" s="263"/>
      <c r="K3" s="263"/>
      <c r="L3" s="264"/>
      <c r="M3" s="267" t="s">
        <v>158</v>
      </c>
      <c r="N3" s="267"/>
      <c r="O3" s="268"/>
      <c r="P3" s="268"/>
    </row>
    <row r="4" spans="2:16" ht="20.399999999999999" x14ac:dyDescent="0.5">
      <c r="B4" s="259"/>
      <c r="C4" s="260"/>
      <c r="D4" s="259"/>
      <c r="E4" s="260"/>
      <c r="F4" s="261"/>
      <c r="G4" s="265"/>
      <c r="H4" s="265"/>
      <c r="I4" s="265"/>
      <c r="J4" s="265"/>
      <c r="K4" s="265"/>
      <c r="L4" s="266"/>
      <c r="M4" s="269" t="s">
        <v>156</v>
      </c>
      <c r="N4" s="267"/>
      <c r="O4" s="270" t="s">
        <v>155</v>
      </c>
      <c r="P4" s="267"/>
    </row>
    <row r="5" spans="2:16" ht="20.399999999999999" x14ac:dyDescent="0.5">
      <c r="B5" s="261"/>
      <c r="C5" s="262"/>
      <c r="D5" s="261"/>
      <c r="E5" s="262"/>
      <c r="F5" s="117" t="s">
        <v>70</v>
      </c>
      <c r="G5" s="117" t="s">
        <v>122</v>
      </c>
      <c r="H5" s="117" t="s">
        <v>130</v>
      </c>
      <c r="I5" s="117" t="s">
        <v>159</v>
      </c>
      <c r="J5" s="117" t="s">
        <v>160</v>
      </c>
      <c r="K5" s="117" t="s">
        <v>161</v>
      </c>
      <c r="L5" s="118" t="s">
        <v>162</v>
      </c>
      <c r="M5" s="116" t="s">
        <v>163</v>
      </c>
      <c r="N5" s="116" t="s">
        <v>164</v>
      </c>
      <c r="O5" s="117" t="s">
        <v>163</v>
      </c>
      <c r="P5" s="117" t="s">
        <v>164</v>
      </c>
    </row>
    <row r="6" spans="2:16" ht="20.399999999999999" x14ac:dyDescent="0.5">
      <c r="B6" s="239" t="s">
        <v>70</v>
      </c>
      <c r="C6" s="239" t="s">
        <v>165</v>
      </c>
      <c r="D6" s="119" t="s">
        <v>166</v>
      </c>
      <c r="E6" s="120" t="s">
        <v>167</v>
      </c>
      <c r="F6" s="121"/>
      <c r="G6" s="121"/>
      <c r="H6" s="121"/>
      <c r="I6" s="121"/>
      <c r="J6" s="121"/>
      <c r="K6" s="121"/>
      <c r="L6" s="122">
        <v>3</v>
      </c>
      <c r="M6" s="123">
        <f t="shared" ref="M6:M69" si="0">SUM(F6:L6)</f>
        <v>3</v>
      </c>
      <c r="N6" s="124">
        <f t="shared" ref="N6:N69" si="1">M6/$M$91</f>
        <v>0.15789473684210525</v>
      </c>
      <c r="O6" s="241">
        <f>SUM(M6:M13)</f>
        <v>5</v>
      </c>
      <c r="P6" s="243">
        <f>O6/O91</f>
        <v>0.26315789473684209</v>
      </c>
    </row>
    <row r="7" spans="2:16" ht="20.399999999999999" x14ac:dyDescent="0.5">
      <c r="B7" s="246"/>
      <c r="C7" s="246"/>
      <c r="D7" s="125" t="s">
        <v>168</v>
      </c>
      <c r="E7" s="126" t="s">
        <v>169</v>
      </c>
      <c r="F7" s="127"/>
      <c r="G7" s="127"/>
      <c r="H7" s="127"/>
      <c r="I7" s="127"/>
      <c r="J7" s="127"/>
      <c r="K7" s="127"/>
      <c r="L7" s="128"/>
      <c r="M7" s="129">
        <f t="shared" si="0"/>
        <v>0</v>
      </c>
      <c r="N7" s="130">
        <f t="shared" si="1"/>
        <v>0</v>
      </c>
      <c r="O7" s="248"/>
      <c r="P7" s="250"/>
    </row>
    <row r="8" spans="2:16" ht="20.399999999999999" x14ac:dyDescent="0.5">
      <c r="B8" s="246"/>
      <c r="C8" s="246"/>
      <c r="D8" s="125" t="s">
        <v>170</v>
      </c>
      <c r="E8" s="126" t="s">
        <v>171</v>
      </c>
      <c r="F8" s="127"/>
      <c r="G8" s="127"/>
      <c r="H8" s="127"/>
      <c r="I8" s="127"/>
      <c r="J8" s="127"/>
      <c r="K8" s="127"/>
      <c r="L8" s="128">
        <v>1</v>
      </c>
      <c r="M8" s="129">
        <f t="shared" si="0"/>
        <v>1</v>
      </c>
      <c r="N8" s="130">
        <f t="shared" si="1"/>
        <v>5.2631578947368418E-2</v>
      </c>
      <c r="O8" s="248"/>
      <c r="P8" s="250"/>
    </row>
    <row r="9" spans="2:16" ht="20.399999999999999" x14ac:dyDescent="0.5">
      <c r="B9" s="246"/>
      <c r="C9" s="246"/>
      <c r="D9" s="125" t="s">
        <v>172</v>
      </c>
      <c r="E9" s="126" t="s">
        <v>173</v>
      </c>
      <c r="F9" s="127"/>
      <c r="G9" s="127"/>
      <c r="H9" s="127"/>
      <c r="I9" s="127"/>
      <c r="J9" s="127"/>
      <c r="K9" s="127"/>
      <c r="L9" s="128">
        <v>1</v>
      </c>
      <c r="M9" s="129">
        <f t="shared" si="0"/>
        <v>1</v>
      </c>
      <c r="N9" s="130">
        <f t="shared" si="1"/>
        <v>5.2631578947368418E-2</v>
      </c>
      <c r="O9" s="248"/>
      <c r="P9" s="250"/>
    </row>
    <row r="10" spans="2:16" ht="20.399999999999999" x14ac:dyDescent="0.5">
      <c r="B10" s="246"/>
      <c r="C10" s="246"/>
      <c r="D10" s="125" t="s">
        <v>174</v>
      </c>
      <c r="E10" s="126" t="s">
        <v>175</v>
      </c>
      <c r="F10" s="127"/>
      <c r="G10" s="127"/>
      <c r="H10" s="127"/>
      <c r="I10" s="127"/>
      <c r="J10" s="127"/>
      <c r="K10" s="127"/>
      <c r="L10" s="128"/>
      <c r="M10" s="129">
        <f t="shared" si="0"/>
        <v>0</v>
      </c>
      <c r="N10" s="130">
        <f t="shared" si="1"/>
        <v>0</v>
      </c>
      <c r="O10" s="248"/>
      <c r="P10" s="250"/>
    </row>
    <row r="11" spans="2:16" ht="20.399999999999999" x14ac:dyDescent="0.5">
      <c r="B11" s="246"/>
      <c r="C11" s="246"/>
      <c r="D11" s="131"/>
      <c r="E11" s="132" t="s">
        <v>176</v>
      </c>
      <c r="F11" s="133"/>
      <c r="G11" s="127"/>
      <c r="H11" s="127"/>
      <c r="I11" s="127"/>
      <c r="J11" s="127"/>
      <c r="K11" s="127"/>
      <c r="L11" s="128"/>
      <c r="M11" s="129">
        <f t="shared" si="0"/>
        <v>0</v>
      </c>
      <c r="N11" s="130">
        <f t="shared" si="1"/>
        <v>0</v>
      </c>
      <c r="O11" s="248"/>
      <c r="P11" s="250"/>
    </row>
    <row r="12" spans="2:16" ht="20.399999999999999" x14ac:dyDescent="0.5">
      <c r="B12" s="246"/>
      <c r="C12" s="246"/>
      <c r="D12" s="131"/>
      <c r="E12" s="132" t="s">
        <v>177</v>
      </c>
      <c r="F12" s="134"/>
      <c r="G12" s="135"/>
      <c r="H12" s="135"/>
      <c r="I12" s="135"/>
      <c r="J12" s="135"/>
      <c r="K12" s="135"/>
      <c r="L12" s="136"/>
      <c r="M12" s="129">
        <f t="shared" si="0"/>
        <v>0</v>
      </c>
      <c r="N12" s="130">
        <f t="shared" si="1"/>
        <v>0</v>
      </c>
      <c r="O12" s="254"/>
      <c r="P12" s="255"/>
    </row>
    <row r="13" spans="2:16" ht="20.399999999999999" x14ac:dyDescent="0.5">
      <c r="B13" s="240"/>
      <c r="C13" s="240"/>
      <c r="D13" s="131"/>
      <c r="E13" s="138" t="s">
        <v>178</v>
      </c>
      <c r="F13" s="139"/>
      <c r="G13" s="140"/>
      <c r="H13" s="140"/>
      <c r="I13" s="140"/>
      <c r="J13" s="140"/>
      <c r="K13" s="140"/>
      <c r="L13" s="141"/>
      <c r="M13" s="142">
        <f t="shared" si="0"/>
        <v>0</v>
      </c>
      <c r="N13" s="143">
        <f t="shared" si="1"/>
        <v>0</v>
      </c>
      <c r="O13" s="242"/>
      <c r="P13" s="244"/>
    </row>
    <row r="14" spans="2:16" ht="20.399999999999999" x14ac:dyDescent="0.5">
      <c r="B14" s="239" t="s">
        <v>122</v>
      </c>
      <c r="C14" s="239" t="s">
        <v>179</v>
      </c>
      <c r="D14" s="144" t="s">
        <v>180</v>
      </c>
      <c r="E14" s="145" t="s">
        <v>181</v>
      </c>
      <c r="F14" s="146"/>
      <c r="G14" s="121"/>
      <c r="H14" s="121"/>
      <c r="I14" s="121"/>
      <c r="J14" s="121"/>
      <c r="K14" s="121"/>
      <c r="L14" s="122"/>
      <c r="M14" s="123">
        <f t="shared" si="0"/>
        <v>0</v>
      </c>
      <c r="N14" s="124">
        <f t="shared" si="1"/>
        <v>0</v>
      </c>
      <c r="O14" s="241">
        <f>SUM(M14:M40)</f>
        <v>10</v>
      </c>
      <c r="P14" s="243">
        <f>O14/O91</f>
        <v>0.52631578947368418</v>
      </c>
    </row>
    <row r="15" spans="2:16" x14ac:dyDescent="0.5">
      <c r="B15" s="246"/>
      <c r="C15" s="246"/>
      <c r="D15" s="147"/>
      <c r="E15" s="148" t="s">
        <v>182</v>
      </c>
      <c r="F15" s="149"/>
      <c r="G15" s="150"/>
      <c r="H15" s="150"/>
      <c r="I15" s="150"/>
      <c r="J15" s="150"/>
      <c r="K15" s="150"/>
      <c r="L15" s="151"/>
      <c r="M15" s="129">
        <f t="shared" si="0"/>
        <v>0</v>
      </c>
      <c r="N15" s="130">
        <f t="shared" si="1"/>
        <v>0</v>
      </c>
      <c r="O15" s="247"/>
      <c r="P15" s="249"/>
    </row>
    <row r="16" spans="2:16" x14ac:dyDescent="0.5">
      <c r="B16" s="246"/>
      <c r="C16" s="246"/>
      <c r="D16" s="152"/>
      <c r="E16" s="153" t="s">
        <v>183</v>
      </c>
      <c r="F16" s="133"/>
      <c r="G16" s="150"/>
      <c r="H16" s="150"/>
      <c r="I16" s="150"/>
      <c r="J16" s="150"/>
      <c r="K16" s="150"/>
      <c r="L16" s="151"/>
      <c r="M16" s="129">
        <f t="shared" si="0"/>
        <v>0</v>
      </c>
      <c r="N16" s="130">
        <f t="shared" si="1"/>
        <v>0</v>
      </c>
      <c r="O16" s="247"/>
      <c r="P16" s="249"/>
    </row>
    <row r="17" spans="2:16" ht="20.399999999999999" x14ac:dyDescent="0.5">
      <c r="B17" s="246"/>
      <c r="C17" s="246"/>
      <c r="D17" s="154" t="s">
        <v>184</v>
      </c>
      <c r="E17" s="155" t="s">
        <v>185</v>
      </c>
      <c r="F17" s="133"/>
      <c r="G17" s="150"/>
      <c r="H17" s="150"/>
      <c r="I17" s="150"/>
      <c r="J17" s="150"/>
      <c r="K17" s="150"/>
      <c r="L17" s="151"/>
      <c r="M17" s="129">
        <f t="shared" si="0"/>
        <v>0</v>
      </c>
      <c r="N17" s="130">
        <f t="shared" si="1"/>
        <v>0</v>
      </c>
      <c r="O17" s="247"/>
      <c r="P17" s="249"/>
    </row>
    <row r="18" spans="2:16" x14ac:dyDescent="0.5">
      <c r="B18" s="246"/>
      <c r="C18" s="246"/>
      <c r="D18" s="156"/>
      <c r="E18" s="148" t="s">
        <v>186</v>
      </c>
      <c r="F18" s="149"/>
      <c r="G18" s="150"/>
      <c r="H18" s="150"/>
      <c r="I18" s="150"/>
      <c r="J18" s="150"/>
      <c r="K18" s="150"/>
      <c r="L18" s="151">
        <v>5</v>
      </c>
      <c r="M18" s="129">
        <f t="shared" si="0"/>
        <v>5</v>
      </c>
      <c r="N18" s="130">
        <f t="shared" si="1"/>
        <v>0.26315789473684209</v>
      </c>
      <c r="O18" s="247"/>
      <c r="P18" s="249"/>
    </row>
    <row r="19" spans="2:16" x14ac:dyDescent="0.5">
      <c r="B19" s="246"/>
      <c r="C19" s="246"/>
      <c r="D19" s="147"/>
      <c r="E19" s="148" t="s">
        <v>187</v>
      </c>
      <c r="F19" s="149"/>
      <c r="G19" s="150"/>
      <c r="H19" s="150"/>
      <c r="I19" s="150"/>
      <c r="J19" s="150"/>
      <c r="K19" s="150"/>
      <c r="L19" s="151">
        <v>5</v>
      </c>
      <c r="M19" s="129">
        <f t="shared" si="0"/>
        <v>5</v>
      </c>
      <c r="N19" s="130">
        <f t="shared" si="1"/>
        <v>0.26315789473684209</v>
      </c>
      <c r="O19" s="247"/>
      <c r="P19" s="249"/>
    </row>
    <row r="20" spans="2:16" x14ac:dyDescent="0.5">
      <c r="B20" s="246"/>
      <c r="C20" s="246"/>
      <c r="D20" s="147"/>
      <c r="E20" s="148" t="s">
        <v>188</v>
      </c>
      <c r="F20" s="149"/>
      <c r="G20" s="150"/>
      <c r="H20" s="150"/>
      <c r="I20" s="150"/>
      <c r="J20" s="150"/>
      <c r="K20" s="150"/>
      <c r="L20" s="151"/>
      <c r="M20" s="129">
        <f t="shared" si="0"/>
        <v>0</v>
      </c>
      <c r="N20" s="130">
        <f t="shared" si="1"/>
        <v>0</v>
      </c>
      <c r="O20" s="247"/>
      <c r="P20" s="249"/>
    </row>
    <row r="21" spans="2:16" x14ac:dyDescent="0.5">
      <c r="B21" s="246"/>
      <c r="C21" s="246"/>
      <c r="D21" s="147"/>
      <c r="E21" s="148" t="s">
        <v>189</v>
      </c>
      <c r="F21" s="149"/>
      <c r="G21" s="150"/>
      <c r="H21" s="150"/>
      <c r="I21" s="150"/>
      <c r="J21" s="150"/>
      <c r="K21" s="150"/>
      <c r="L21" s="151"/>
      <c r="M21" s="129">
        <f t="shared" si="0"/>
        <v>0</v>
      </c>
      <c r="N21" s="130">
        <f t="shared" si="1"/>
        <v>0</v>
      </c>
      <c r="O21" s="247"/>
      <c r="P21" s="249"/>
    </row>
    <row r="22" spans="2:16" x14ac:dyDescent="0.5">
      <c r="B22" s="246"/>
      <c r="C22" s="246"/>
      <c r="D22" s="147"/>
      <c r="E22" s="148" t="s">
        <v>190</v>
      </c>
      <c r="F22" s="149"/>
      <c r="G22" s="150"/>
      <c r="H22" s="150"/>
      <c r="I22" s="150"/>
      <c r="J22" s="150"/>
      <c r="K22" s="150"/>
      <c r="L22" s="151"/>
      <c r="M22" s="129">
        <f t="shared" si="0"/>
        <v>0</v>
      </c>
      <c r="N22" s="130">
        <f t="shared" si="1"/>
        <v>0</v>
      </c>
      <c r="O22" s="247"/>
      <c r="P22" s="249"/>
    </row>
    <row r="23" spans="2:16" x14ac:dyDescent="0.5">
      <c r="B23" s="246"/>
      <c r="C23" s="246"/>
      <c r="D23" s="147"/>
      <c r="E23" s="148" t="s">
        <v>191</v>
      </c>
      <c r="F23" s="149"/>
      <c r="G23" s="150"/>
      <c r="H23" s="150"/>
      <c r="I23" s="150"/>
      <c r="J23" s="150"/>
      <c r="K23" s="150"/>
      <c r="L23" s="151"/>
      <c r="M23" s="129">
        <f t="shared" si="0"/>
        <v>0</v>
      </c>
      <c r="N23" s="130">
        <f t="shared" si="1"/>
        <v>0</v>
      </c>
      <c r="O23" s="247"/>
      <c r="P23" s="249"/>
    </row>
    <row r="24" spans="2:16" x14ac:dyDescent="0.5">
      <c r="B24" s="246"/>
      <c r="C24" s="246"/>
      <c r="D24" s="147"/>
      <c r="E24" s="148" t="s">
        <v>192</v>
      </c>
      <c r="F24" s="149"/>
      <c r="G24" s="150"/>
      <c r="H24" s="150"/>
      <c r="I24" s="150"/>
      <c r="J24" s="150"/>
      <c r="K24" s="150"/>
      <c r="L24" s="151"/>
      <c r="M24" s="129">
        <f t="shared" si="0"/>
        <v>0</v>
      </c>
      <c r="N24" s="130">
        <f t="shared" si="1"/>
        <v>0</v>
      </c>
      <c r="O24" s="247"/>
      <c r="P24" s="249"/>
    </row>
    <row r="25" spans="2:16" x14ac:dyDescent="0.5">
      <c r="B25" s="246"/>
      <c r="C25" s="246"/>
      <c r="D25" s="147"/>
      <c r="E25" s="148" t="s">
        <v>193</v>
      </c>
      <c r="F25" s="149"/>
      <c r="G25" s="150"/>
      <c r="H25" s="150"/>
      <c r="I25" s="150"/>
      <c r="J25" s="150"/>
      <c r="K25" s="150"/>
      <c r="L25" s="151"/>
      <c r="M25" s="129">
        <f t="shared" si="0"/>
        <v>0</v>
      </c>
      <c r="N25" s="130">
        <f t="shared" si="1"/>
        <v>0</v>
      </c>
      <c r="O25" s="247"/>
      <c r="P25" s="249"/>
    </row>
    <row r="26" spans="2:16" x14ac:dyDescent="0.5">
      <c r="B26" s="246"/>
      <c r="C26" s="246"/>
      <c r="D26" s="147"/>
      <c r="E26" s="148" t="s">
        <v>194</v>
      </c>
      <c r="F26" s="149"/>
      <c r="G26" s="150"/>
      <c r="H26" s="150"/>
      <c r="I26" s="150"/>
      <c r="J26" s="150"/>
      <c r="K26" s="150"/>
      <c r="L26" s="151"/>
      <c r="M26" s="129">
        <f t="shared" si="0"/>
        <v>0</v>
      </c>
      <c r="N26" s="130">
        <f t="shared" si="1"/>
        <v>0</v>
      </c>
      <c r="O26" s="247"/>
      <c r="P26" s="249"/>
    </row>
    <row r="27" spans="2:16" ht="20.399999999999999" x14ac:dyDescent="0.5">
      <c r="B27" s="246"/>
      <c r="C27" s="246"/>
      <c r="D27" s="154" t="s">
        <v>195</v>
      </c>
      <c r="E27" s="155" t="s">
        <v>196</v>
      </c>
      <c r="F27" s="149"/>
      <c r="G27" s="150"/>
      <c r="H27" s="150"/>
      <c r="I27" s="150"/>
      <c r="J27" s="150"/>
      <c r="K27" s="150"/>
      <c r="L27" s="151"/>
      <c r="M27" s="129">
        <f t="shared" si="0"/>
        <v>0</v>
      </c>
      <c r="N27" s="130">
        <f t="shared" si="1"/>
        <v>0</v>
      </c>
      <c r="O27" s="247"/>
      <c r="P27" s="249"/>
    </row>
    <row r="28" spans="2:16" x14ac:dyDescent="0.5">
      <c r="B28" s="246"/>
      <c r="C28" s="246"/>
      <c r="D28" s="156"/>
      <c r="E28" s="148" t="s">
        <v>197</v>
      </c>
      <c r="F28" s="149"/>
      <c r="G28" s="150"/>
      <c r="H28" s="150"/>
      <c r="I28" s="150"/>
      <c r="J28" s="150"/>
      <c r="K28" s="150"/>
      <c r="L28" s="151"/>
      <c r="M28" s="129">
        <f t="shared" si="0"/>
        <v>0</v>
      </c>
      <c r="N28" s="130">
        <f t="shared" si="1"/>
        <v>0</v>
      </c>
      <c r="O28" s="247"/>
      <c r="P28" s="249"/>
    </row>
    <row r="29" spans="2:16" x14ac:dyDescent="0.5">
      <c r="B29" s="246"/>
      <c r="C29" s="246"/>
      <c r="D29" s="156"/>
      <c r="E29" s="148" t="s">
        <v>198</v>
      </c>
      <c r="F29" s="149"/>
      <c r="G29" s="150"/>
      <c r="H29" s="150"/>
      <c r="I29" s="150"/>
      <c r="J29" s="150"/>
      <c r="K29" s="150"/>
      <c r="L29" s="151"/>
      <c r="M29" s="129">
        <f t="shared" si="0"/>
        <v>0</v>
      </c>
      <c r="N29" s="130">
        <f t="shared" si="1"/>
        <v>0</v>
      </c>
      <c r="O29" s="247"/>
      <c r="P29" s="249"/>
    </row>
    <row r="30" spans="2:16" ht="20.399999999999999" x14ac:dyDescent="0.5">
      <c r="B30" s="246"/>
      <c r="C30" s="246"/>
      <c r="D30" s="154" t="s">
        <v>199</v>
      </c>
      <c r="E30" s="155" t="s">
        <v>200</v>
      </c>
      <c r="F30" s="149"/>
      <c r="G30" s="150"/>
      <c r="H30" s="150"/>
      <c r="I30" s="150"/>
      <c r="J30" s="150"/>
      <c r="K30" s="150"/>
      <c r="L30" s="151"/>
      <c r="M30" s="129">
        <f t="shared" si="0"/>
        <v>0</v>
      </c>
      <c r="N30" s="130">
        <f t="shared" si="1"/>
        <v>0</v>
      </c>
      <c r="O30" s="247"/>
      <c r="P30" s="249"/>
    </row>
    <row r="31" spans="2:16" ht="20.399999999999999" x14ac:dyDescent="0.5">
      <c r="B31" s="246"/>
      <c r="C31" s="246"/>
      <c r="D31" s="154" t="s">
        <v>201</v>
      </c>
      <c r="E31" s="155" t="s">
        <v>202</v>
      </c>
      <c r="F31" s="149"/>
      <c r="G31" s="150"/>
      <c r="H31" s="150"/>
      <c r="I31" s="150"/>
      <c r="J31" s="150"/>
      <c r="K31" s="150"/>
      <c r="L31" s="151"/>
      <c r="M31" s="129">
        <f t="shared" si="0"/>
        <v>0</v>
      </c>
      <c r="N31" s="130">
        <f t="shared" si="1"/>
        <v>0</v>
      </c>
      <c r="O31" s="247"/>
      <c r="P31" s="249"/>
    </row>
    <row r="32" spans="2:16" x14ac:dyDescent="0.5">
      <c r="B32" s="246"/>
      <c r="C32" s="246"/>
      <c r="D32" s="156"/>
      <c r="E32" s="148" t="s">
        <v>203</v>
      </c>
      <c r="F32" s="149"/>
      <c r="G32" s="150"/>
      <c r="H32" s="150"/>
      <c r="I32" s="150"/>
      <c r="J32" s="150"/>
      <c r="K32" s="150"/>
      <c r="L32" s="151"/>
      <c r="M32" s="129">
        <f t="shared" si="0"/>
        <v>0</v>
      </c>
      <c r="N32" s="130">
        <f t="shared" si="1"/>
        <v>0</v>
      </c>
      <c r="O32" s="247"/>
      <c r="P32" s="249"/>
    </row>
    <row r="33" spans="2:16" x14ac:dyDescent="0.5">
      <c r="B33" s="246"/>
      <c r="C33" s="246"/>
      <c r="D33" s="156"/>
      <c r="E33" s="148" t="s">
        <v>204</v>
      </c>
      <c r="F33" s="149"/>
      <c r="G33" s="150"/>
      <c r="H33" s="150"/>
      <c r="I33" s="150"/>
      <c r="J33" s="150"/>
      <c r="K33" s="150"/>
      <c r="L33" s="151"/>
      <c r="M33" s="129">
        <f t="shared" si="0"/>
        <v>0</v>
      </c>
      <c r="N33" s="130">
        <f t="shared" si="1"/>
        <v>0</v>
      </c>
      <c r="O33" s="247"/>
      <c r="P33" s="249"/>
    </row>
    <row r="34" spans="2:16" x14ac:dyDescent="0.5">
      <c r="B34" s="246"/>
      <c r="C34" s="246"/>
      <c r="D34" s="156"/>
      <c r="E34" s="148" t="s">
        <v>205</v>
      </c>
      <c r="F34" s="149"/>
      <c r="G34" s="150"/>
      <c r="H34" s="150"/>
      <c r="I34" s="150"/>
      <c r="J34" s="150"/>
      <c r="K34" s="150"/>
      <c r="L34" s="151"/>
      <c r="M34" s="129">
        <f t="shared" si="0"/>
        <v>0</v>
      </c>
      <c r="N34" s="130">
        <f t="shared" si="1"/>
        <v>0</v>
      </c>
      <c r="O34" s="247"/>
      <c r="P34" s="249"/>
    </row>
    <row r="35" spans="2:16" ht="20.399999999999999" x14ac:dyDescent="0.5">
      <c r="B35" s="246"/>
      <c r="C35" s="246"/>
      <c r="D35" s="154" t="s">
        <v>206</v>
      </c>
      <c r="E35" s="155" t="s">
        <v>207</v>
      </c>
      <c r="F35" s="149"/>
      <c r="G35" s="150"/>
      <c r="H35" s="150"/>
      <c r="I35" s="150"/>
      <c r="J35" s="150"/>
      <c r="K35" s="150"/>
      <c r="L35" s="151"/>
      <c r="M35" s="129">
        <f t="shared" si="0"/>
        <v>0</v>
      </c>
      <c r="N35" s="130">
        <f t="shared" si="1"/>
        <v>0</v>
      </c>
      <c r="O35" s="247"/>
      <c r="P35" s="249"/>
    </row>
    <row r="36" spans="2:16" x14ac:dyDescent="0.5">
      <c r="B36" s="246"/>
      <c r="C36" s="246"/>
      <c r="D36" s="156"/>
      <c r="E36" s="148" t="s">
        <v>208</v>
      </c>
      <c r="F36" s="149"/>
      <c r="G36" s="150"/>
      <c r="H36" s="150"/>
      <c r="I36" s="150"/>
      <c r="J36" s="150"/>
      <c r="K36" s="150"/>
      <c r="L36" s="151"/>
      <c r="M36" s="129">
        <f t="shared" si="0"/>
        <v>0</v>
      </c>
      <c r="N36" s="130">
        <f t="shared" si="1"/>
        <v>0</v>
      </c>
      <c r="O36" s="247"/>
      <c r="P36" s="249"/>
    </row>
    <row r="37" spans="2:16" x14ac:dyDescent="0.5">
      <c r="B37" s="246"/>
      <c r="C37" s="246"/>
      <c r="D37" s="156"/>
      <c r="E37" s="148" t="s">
        <v>209</v>
      </c>
      <c r="F37" s="149"/>
      <c r="G37" s="150"/>
      <c r="H37" s="150"/>
      <c r="I37" s="150"/>
      <c r="J37" s="150"/>
      <c r="K37" s="150"/>
      <c r="L37" s="151"/>
      <c r="M37" s="129">
        <f t="shared" si="0"/>
        <v>0</v>
      </c>
      <c r="N37" s="130">
        <f t="shared" si="1"/>
        <v>0</v>
      </c>
      <c r="O37" s="247"/>
      <c r="P37" s="249"/>
    </row>
    <row r="38" spans="2:16" x14ac:dyDescent="0.5">
      <c r="B38" s="246"/>
      <c r="C38" s="246"/>
      <c r="D38" s="156"/>
      <c r="E38" s="148" t="s">
        <v>210</v>
      </c>
      <c r="F38" s="149"/>
      <c r="G38" s="150"/>
      <c r="H38" s="150"/>
      <c r="I38" s="150"/>
      <c r="J38" s="150"/>
      <c r="K38" s="150"/>
      <c r="L38" s="151"/>
      <c r="M38" s="129">
        <f t="shared" si="0"/>
        <v>0</v>
      </c>
      <c r="N38" s="130">
        <f t="shared" si="1"/>
        <v>0</v>
      </c>
      <c r="O38" s="247"/>
      <c r="P38" s="249"/>
    </row>
    <row r="39" spans="2:16" x14ac:dyDescent="0.5">
      <c r="B39" s="246"/>
      <c r="C39" s="246"/>
      <c r="D39" s="156"/>
      <c r="E39" s="148" t="s">
        <v>211</v>
      </c>
      <c r="F39" s="149"/>
      <c r="G39" s="150"/>
      <c r="H39" s="150"/>
      <c r="I39" s="150"/>
      <c r="J39" s="150"/>
      <c r="K39" s="150"/>
      <c r="L39" s="151"/>
      <c r="M39" s="129">
        <f t="shared" si="0"/>
        <v>0</v>
      </c>
      <c r="N39" s="130">
        <f t="shared" si="1"/>
        <v>0</v>
      </c>
      <c r="O39" s="247"/>
      <c r="P39" s="249"/>
    </row>
    <row r="40" spans="2:16" x14ac:dyDescent="0.5">
      <c r="B40" s="240"/>
      <c r="C40" s="240"/>
      <c r="D40" s="157"/>
      <c r="E40" s="138" t="s">
        <v>212</v>
      </c>
      <c r="F40" s="139"/>
      <c r="G40" s="140"/>
      <c r="H40" s="140"/>
      <c r="I40" s="140"/>
      <c r="J40" s="140"/>
      <c r="K40" s="140"/>
      <c r="L40" s="141"/>
      <c r="M40" s="142">
        <f t="shared" si="0"/>
        <v>0</v>
      </c>
      <c r="N40" s="143">
        <f t="shared" si="1"/>
        <v>0</v>
      </c>
      <c r="O40" s="242"/>
      <c r="P40" s="244"/>
    </row>
    <row r="41" spans="2:16" ht="20.399999999999999" x14ac:dyDescent="0.5">
      <c r="B41" s="239" t="s">
        <v>130</v>
      </c>
      <c r="C41" s="251" t="s">
        <v>213</v>
      </c>
      <c r="D41" s="158" t="s">
        <v>214</v>
      </c>
      <c r="E41" s="145" t="s">
        <v>215</v>
      </c>
      <c r="F41" s="149"/>
      <c r="G41" s="150"/>
      <c r="H41" s="150"/>
      <c r="I41" s="150"/>
      <c r="J41" s="150"/>
      <c r="K41" s="150"/>
      <c r="L41" s="151"/>
      <c r="M41" s="123">
        <f t="shared" si="0"/>
        <v>0</v>
      </c>
      <c r="N41" s="124">
        <f t="shared" si="1"/>
        <v>0</v>
      </c>
      <c r="O41" s="241">
        <f>SUM(M41:M58)</f>
        <v>0</v>
      </c>
      <c r="P41" s="243">
        <f>O41/O91</f>
        <v>0</v>
      </c>
    </row>
    <row r="42" spans="2:16" ht="20.399999999999999" x14ac:dyDescent="0.5">
      <c r="B42" s="246"/>
      <c r="C42" s="252"/>
      <c r="D42" s="159" t="s">
        <v>216</v>
      </c>
      <c r="E42" s="155" t="s">
        <v>217</v>
      </c>
      <c r="F42" s="149"/>
      <c r="G42" s="150"/>
      <c r="H42" s="150"/>
      <c r="I42" s="150"/>
      <c r="J42" s="150"/>
      <c r="K42" s="150"/>
      <c r="L42" s="151"/>
      <c r="M42" s="129">
        <f t="shared" si="0"/>
        <v>0</v>
      </c>
      <c r="N42" s="160">
        <f t="shared" si="1"/>
        <v>0</v>
      </c>
      <c r="O42" s="247"/>
      <c r="P42" s="249"/>
    </row>
    <row r="43" spans="2:16" ht="20.399999999999999" x14ac:dyDescent="0.5">
      <c r="B43" s="246"/>
      <c r="C43" s="252"/>
      <c r="D43" s="159" t="s">
        <v>218</v>
      </c>
      <c r="E43" s="155" t="s">
        <v>219</v>
      </c>
      <c r="F43" s="149"/>
      <c r="G43" s="150"/>
      <c r="H43" s="150"/>
      <c r="I43" s="150"/>
      <c r="J43" s="150"/>
      <c r="K43" s="150"/>
      <c r="L43" s="151"/>
      <c r="M43" s="129">
        <f t="shared" si="0"/>
        <v>0</v>
      </c>
      <c r="N43" s="160">
        <f t="shared" si="1"/>
        <v>0</v>
      </c>
      <c r="O43" s="247"/>
      <c r="P43" s="249"/>
    </row>
    <row r="44" spans="2:16" x14ac:dyDescent="0.5">
      <c r="B44" s="246"/>
      <c r="C44" s="252"/>
      <c r="D44" s="161"/>
      <c r="E44" s="148" t="s">
        <v>220</v>
      </c>
      <c r="F44" s="149"/>
      <c r="G44" s="150"/>
      <c r="H44" s="150"/>
      <c r="I44" s="150"/>
      <c r="J44" s="150"/>
      <c r="K44" s="150"/>
      <c r="L44" s="151"/>
      <c r="M44" s="129">
        <f t="shared" si="0"/>
        <v>0</v>
      </c>
      <c r="N44" s="160">
        <f t="shared" si="1"/>
        <v>0</v>
      </c>
      <c r="O44" s="247"/>
      <c r="P44" s="249"/>
    </row>
    <row r="45" spans="2:16" x14ac:dyDescent="0.5">
      <c r="B45" s="246"/>
      <c r="C45" s="252"/>
      <c r="D45" s="161"/>
      <c r="E45" s="148" t="s">
        <v>221</v>
      </c>
      <c r="F45" s="149"/>
      <c r="G45" s="150"/>
      <c r="H45" s="150"/>
      <c r="I45" s="150"/>
      <c r="J45" s="150"/>
      <c r="K45" s="150"/>
      <c r="L45" s="151"/>
      <c r="M45" s="129">
        <f t="shared" si="0"/>
        <v>0</v>
      </c>
      <c r="N45" s="160">
        <f t="shared" si="1"/>
        <v>0</v>
      </c>
      <c r="O45" s="247"/>
      <c r="P45" s="249"/>
    </row>
    <row r="46" spans="2:16" x14ac:dyDescent="0.5">
      <c r="B46" s="246"/>
      <c r="C46" s="252"/>
      <c r="D46" s="161"/>
      <c r="E46" s="148" t="s">
        <v>222</v>
      </c>
      <c r="F46" s="149"/>
      <c r="G46" s="150"/>
      <c r="H46" s="150"/>
      <c r="I46" s="150"/>
      <c r="J46" s="150"/>
      <c r="K46" s="150"/>
      <c r="L46" s="151"/>
      <c r="M46" s="129">
        <f t="shared" si="0"/>
        <v>0</v>
      </c>
      <c r="N46" s="160">
        <f t="shared" si="1"/>
        <v>0</v>
      </c>
      <c r="O46" s="247"/>
      <c r="P46" s="249"/>
    </row>
    <row r="47" spans="2:16" x14ac:dyDescent="0.5">
      <c r="B47" s="246"/>
      <c r="C47" s="252"/>
      <c r="D47" s="161"/>
      <c r="E47" s="148" t="s">
        <v>223</v>
      </c>
      <c r="F47" s="149"/>
      <c r="G47" s="150"/>
      <c r="H47" s="150"/>
      <c r="I47" s="150"/>
      <c r="J47" s="150"/>
      <c r="K47" s="150"/>
      <c r="L47" s="151"/>
      <c r="M47" s="129">
        <f t="shared" si="0"/>
        <v>0</v>
      </c>
      <c r="N47" s="160">
        <f t="shared" si="1"/>
        <v>0</v>
      </c>
      <c r="O47" s="247"/>
      <c r="P47" s="249"/>
    </row>
    <row r="48" spans="2:16" ht="20.399999999999999" x14ac:dyDescent="0.5">
      <c r="B48" s="246"/>
      <c r="C48" s="252"/>
      <c r="D48" s="159" t="s">
        <v>224</v>
      </c>
      <c r="E48" s="155" t="s">
        <v>225</v>
      </c>
      <c r="F48" s="149"/>
      <c r="G48" s="150"/>
      <c r="H48" s="150"/>
      <c r="I48" s="150"/>
      <c r="J48" s="150"/>
      <c r="K48" s="150"/>
      <c r="L48" s="151"/>
      <c r="M48" s="129">
        <f t="shared" si="0"/>
        <v>0</v>
      </c>
      <c r="N48" s="160">
        <f t="shared" si="1"/>
        <v>0</v>
      </c>
      <c r="O48" s="247"/>
      <c r="P48" s="249"/>
    </row>
    <row r="49" spans="2:16" ht="20.399999999999999" x14ac:dyDescent="0.5">
      <c r="B49" s="246"/>
      <c r="C49" s="252"/>
      <c r="D49" s="159" t="s">
        <v>226</v>
      </c>
      <c r="E49" s="155" t="s">
        <v>227</v>
      </c>
      <c r="F49" s="149"/>
      <c r="G49" s="150"/>
      <c r="H49" s="150"/>
      <c r="I49" s="150"/>
      <c r="J49" s="150"/>
      <c r="K49" s="150"/>
      <c r="L49" s="151"/>
      <c r="M49" s="129">
        <f t="shared" si="0"/>
        <v>0</v>
      </c>
      <c r="N49" s="160">
        <f t="shared" si="1"/>
        <v>0</v>
      </c>
      <c r="O49" s="247"/>
      <c r="P49" s="249"/>
    </row>
    <row r="50" spans="2:16" x14ac:dyDescent="0.5">
      <c r="B50" s="246"/>
      <c r="C50" s="252"/>
      <c r="D50" s="161"/>
      <c r="E50" s="148" t="s">
        <v>228</v>
      </c>
      <c r="F50" s="149"/>
      <c r="G50" s="150"/>
      <c r="H50" s="150"/>
      <c r="I50" s="150"/>
      <c r="J50" s="150"/>
      <c r="K50" s="150"/>
      <c r="L50" s="151"/>
      <c r="M50" s="129">
        <f t="shared" si="0"/>
        <v>0</v>
      </c>
      <c r="N50" s="160">
        <f t="shared" si="1"/>
        <v>0</v>
      </c>
      <c r="O50" s="247"/>
      <c r="P50" s="249"/>
    </row>
    <row r="51" spans="2:16" x14ac:dyDescent="0.5">
      <c r="B51" s="246"/>
      <c r="C51" s="252"/>
      <c r="D51" s="161"/>
      <c r="E51" s="148" t="s">
        <v>229</v>
      </c>
      <c r="F51" s="149"/>
      <c r="G51" s="150"/>
      <c r="H51" s="150"/>
      <c r="I51" s="150"/>
      <c r="J51" s="150"/>
      <c r="K51" s="150"/>
      <c r="L51" s="151"/>
      <c r="M51" s="129">
        <f t="shared" si="0"/>
        <v>0</v>
      </c>
      <c r="N51" s="160">
        <f t="shared" si="1"/>
        <v>0</v>
      </c>
      <c r="O51" s="247"/>
      <c r="P51" s="249"/>
    </row>
    <row r="52" spans="2:16" ht="20.399999999999999" x14ac:dyDescent="0.5">
      <c r="B52" s="246"/>
      <c r="C52" s="252"/>
      <c r="D52" s="159" t="s">
        <v>230</v>
      </c>
      <c r="E52" s="155" t="s">
        <v>231</v>
      </c>
      <c r="F52" s="149"/>
      <c r="G52" s="150"/>
      <c r="H52" s="150"/>
      <c r="I52" s="150"/>
      <c r="J52" s="150"/>
      <c r="K52" s="150"/>
      <c r="L52" s="151"/>
      <c r="M52" s="129">
        <f t="shared" si="0"/>
        <v>0</v>
      </c>
      <c r="N52" s="160">
        <f t="shared" si="1"/>
        <v>0</v>
      </c>
      <c r="O52" s="247"/>
      <c r="P52" s="249"/>
    </row>
    <row r="53" spans="2:16" x14ac:dyDescent="0.5">
      <c r="B53" s="246"/>
      <c r="C53" s="252"/>
      <c r="D53" s="161"/>
      <c r="E53" s="148" t="s">
        <v>232</v>
      </c>
      <c r="F53" s="149"/>
      <c r="G53" s="150"/>
      <c r="H53" s="150"/>
      <c r="I53" s="150"/>
      <c r="J53" s="150"/>
      <c r="K53" s="150"/>
      <c r="L53" s="151"/>
      <c r="M53" s="129">
        <f t="shared" si="0"/>
        <v>0</v>
      </c>
      <c r="N53" s="160">
        <f t="shared" si="1"/>
        <v>0</v>
      </c>
      <c r="O53" s="247"/>
      <c r="P53" s="249"/>
    </row>
    <row r="54" spans="2:16" x14ac:dyDescent="0.5">
      <c r="B54" s="246"/>
      <c r="C54" s="252"/>
      <c r="D54" s="161"/>
      <c r="E54" s="148" t="s">
        <v>233</v>
      </c>
      <c r="F54" s="149"/>
      <c r="G54" s="150"/>
      <c r="H54" s="150"/>
      <c r="I54" s="150"/>
      <c r="J54" s="150"/>
      <c r="K54" s="150"/>
      <c r="L54" s="151"/>
      <c r="M54" s="129">
        <f t="shared" si="0"/>
        <v>0</v>
      </c>
      <c r="N54" s="160">
        <f t="shared" si="1"/>
        <v>0</v>
      </c>
      <c r="O54" s="247"/>
      <c r="P54" s="249"/>
    </row>
    <row r="55" spans="2:16" ht="20.399999999999999" x14ac:dyDescent="0.5">
      <c r="B55" s="246"/>
      <c r="C55" s="252"/>
      <c r="D55" s="159" t="s">
        <v>234</v>
      </c>
      <c r="E55" s="155" t="s">
        <v>235</v>
      </c>
      <c r="F55" s="149"/>
      <c r="G55" s="150"/>
      <c r="H55" s="150"/>
      <c r="I55" s="150"/>
      <c r="J55" s="150"/>
      <c r="K55" s="150"/>
      <c r="L55" s="151"/>
      <c r="M55" s="129">
        <f t="shared" si="0"/>
        <v>0</v>
      </c>
      <c r="N55" s="160">
        <f t="shared" si="1"/>
        <v>0</v>
      </c>
      <c r="O55" s="247"/>
      <c r="P55" s="249"/>
    </row>
    <row r="56" spans="2:16" x14ac:dyDescent="0.5">
      <c r="B56" s="246"/>
      <c r="C56" s="252"/>
      <c r="D56" s="161"/>
      <c r="E56" s="148" t="s">
        <v>236</v>
      </c>
      <c r="F56" s="149"/>
      <c r="G56" s="150"/>
      <c r="H56" s="150"/>
      <c r="I56" s="150"/>
      <c r="J56" s="150"/>
      <c r="K56" s="150"/>
      <c r="L56" s="151"/>
      <c r="M56" s="129">
        <f t="shared" si="0"/>
        <v>0</v>
      </c>
      <c r="N56" s="160">
        <f t="shared" si="1"/>
        <v>0</v>
      </c>
      <c r="O56" s="247"/>
      <c r="P56" s="249"/>
    </row>
    <row r="57" spans="2:16" x14ac:dyDescent="0.5">
      <c r="B57" s="246"/>
      <c r="C57" s="252"/>
      <c r="D57" s="161"/>
      <c r="E57" s="148" t="s">
        <v>237</v>
      </c>
      <c r="F57" s="149"/>
      <c r="G57" s="150"/>
      <c r="H57" s="150"/>
      <c r="I57" s="150"/>
      <c r="J57" s="150"/>
      <c r="K57" s="150"/>
      <c r="L57" s="151"/>
      <c r="M57" s="129">
        <f t="shared" si="0"/>
        <v>0</v>
      </c>
      <c r="N57" s="130">
        <f t="shared" si="1"/>
        <v>0</v>
      </c>
      <c r="O57" s="248"/>
      <c r="P57" s="250"/>
    </row>
    <row r="58" spans="2:16" x14ac:dyDescent="0.5">
      <c r="B58" s="246"/>
      <c r="C58" s="252"/>
      <c r="D58" s="161"/>
      <c r="E58" s="138" t="s">
        <v>238</v>
      </c>
      <c r="F58" s="162"/>
      <c r="G58" s="163"/>
      <c r="H58" s="163"/>
      <c r="I58" s="163"/>
      <c r="J58" s="163"/>
      <c r="K58" s="163"/>
      <c r="L58" s="164"/>
      <c r="M58" s="142">
        <f t="shared" si="0"/>
        <v>0</v>
      </c>
      <c r="N58" s="143">
        <f t="shared" si="1"/>
        <v>0</v>
      </c>
      <c r="O58" s="242"/>
      <c r="P58" s="244"/>
    </row>
    <row r="59" spans="2:16" ht="20.399999999999999" x14ac:dyDescent="0.5">
      <c r="B59" s="251" t="s">
        <v>159</v>
      </c>
      <c r="C59" s="251" t="s">
        <v>239</v>
      </c>
      <c r="D59" s="144" t="s">
        <v>240</v>
      </c>
      <c r="E59" s="145" t="s">
        <v>241</v>
      </c>
      <c r="F59" s="146"/>
      <c r="G59" s="121"/>
      <c r="H59" s="121"/>
      <c r="I59" s="121"/>
      <c r="J59" s="121"/>
      <c r="K59" s="121"/>
      <c r="L59" s="122"/>
      <c r="M59" s="123">
        <f t="shared" si="0"/>
        <v>0</v>
      </c>
      <c r="N59" s="124">
        <f t="shared" si="1"/>
        <v>0</v>
      </c>
      <c r="O59" s="241">
        <f>SUM(M59:M68)</f>
        <v>4</v>
      </c>
      <c r="P59" s="243">
        <f>O59/O91</f>
        <v>0.21052631578947367</v>
      </c>
    </row>
    <row r="60" spans="2:16" ht="20.399999999999999" x14ac:dyDescent="0.5">
      <c r="B60" s="252"/>
      <c r="C60" s="252"/>
      <c r="D60" s="165" t="s">
        <v>242</v>
      </c>
      <c r="E60" s="155" t="s">
        <v>243</v>
      </c>
      <c r="F60" s="149"/>
      <c r="G60" s="150"/>
      <c r="H60" s="150"/>
      <c r="I60" s="150"/>
      <c r="J60" s="150"/>
      <c r="K60" s="150"/>
      <c r="L60" s="151"/>
      <c r="M60" s="129">
        <f t="shared" si="0"/>
        <v>0</v>
      </c>
      <c r="N60" s="130">
        <f t="shared" si="1"/>
        <v>0</v>
      </c>
      <c r="O60" s="248"/>
      <c r="P60" s="250"/>
    </row>
    <row r="61" spans="2:16" x14ac:dyDescent="0.5">
      <c r="B61" s="252"/>
      <c r="C61" s="252"/>
      <c r="D61" s="161"/>
      <c r="E61" s="148" t="s">
        <v>244</v>
      </c>
      <c r="F61" s="149"/>
      <c r="G61" s="150"/>
      <c r="H61" s="150"/>
      <c r="I61" s="150"/>
      <c r="J61" s="150"/>
      <c r="K61" s="150"/>
      <c r="L61" s="151"/>
      <c r="M61" s="129">
        <f t="shared" si="0"/>
        <v>0</v>
      </c>
      <c r="N61" s="130">
        <f t="shared" si="1"/>
        <v>0</v>
      </c>
      <c r="O61" s="248"/>
      <c r="P61" s="250"/>
    </row>
    <row r="62" spans="2:16" x14ac:dyDescent="0.5">
      <c r="B62" s="252"/>
      <c r="C62" s="252"/>
      <c r="D62" s="161"/>
      <c r="E62" s="148" t="s">
        <v>245</v>
      </c>
      <c r="F62" s="149"/>
      <c r="G62" s="150"/>
      <c r="H62" s="150"/>
      <c r="I62" s="150"/>
      <c r="J62" s="150"/>
      <c r="K62" s="150"/>
      <c r="L62" s="151"/>
      <c r="M62" s="129">
        <f t="shared" si="0"/>
        <v>0</v>
      </c>
      <c r="N62" s="130">
        <f t="shared" si="1"/>
        <v>0</v>
      </c>
      <c r="O62" s="248"/>
      <c r="P62" s="250"/>
    </row>
    <row r="63" spans="2:16" ht="20.399999999999999" x14ac:dyDescent="0.5">
      <c r="B63" s="252"/>
      <c r="C63" s="252"/>
      <c r="D63" s="165" t="s">
        <v>246</v>
      </c>
      <c r="E63" s="155" t="s">
        <v>247</v>
      </c>
      <c r="F63" s="149"/>
      <c r="G63" s="150"/>
      <c r="H63" s="150"/>
      <c r="I63" s="150"/>
      <c r="J63" s="150"/>
      <c r="K63" s="150"/>
      <c r="L63" s="151"/>
      <c r="M63" s="129">
        <f t="shared" si="0"/>
        <v>0</v>
      </c>
      <c r="N63" s="130">
        <f t="shared" si="1"/>
        <v>0</v>
      </c>
      <c r="O63" s="248"/>
      <c r="P63" s="250"/>
    </row>
    <row r="64" spans="2:16" x14ac:dyDescent="0.5">
      <c r="B64" s="252"/>
      <c r="C64" s="252"/>
      <c r="D64" s="161"/>
      <c r="E64" s="148" t="s">
        <v>248</v>
      </c>
      <c r="F64" s="149"/>
      <c r="G64" s="150"/>
      <c r="H64" s="150"/>
      <c r="I64" s="150"/>
      <c r="J64" s="150"/>
      <c r="K64" s="150"/>
      <c r="L64" s="151"/>
      <c r="M64" s="129">
        <f t="shared" si="0"/>
        <v>0</v>
      </c>
      <c r="N64" s="130">
        <f t="shared" si="1"/>
        <v>0</v>
      </c>
      <c r="O64" s="248"/>
      <c r="P64" s="250"/>
    </row>
    <row r="65" spans="2:16" x14ac:dyDescent="0.5">
      <c r="B65" s="252"/>
      <c r="C65" s="252"/>
      <c r="D65" s="161"/>
      <c r="E65" s="148" t="s">
        <v>249</v>
      </c>
      <c r="F65" s="149"/>
      <c r="G65" s="150"/>
      <c r="H65" s="150"/>
      <c r="I65" s="150"/>
      <c r="J65" s="150"/>
      <c r="K65" s="150"/>
      <c r="L65" s="151">
        <v>4</v>
      </c>
      <c r="M65" s="129">
        <f t="shared" si="0"/>
        <v>4</v>
      </c>
      <c r="N65" s="130">
        <f t="shared" si="1"/>
        <v>0.21052631578947367</v>
      </c>
      <c r="O65" s="248"/>
      <c r="P65" s="250"/>
    </row>
    <row r="66" spans="2:16" ht="20.399999999999999" x14ac:dyDescent="0.5">
      <c r="B66" s="252"/>
      <c r="C66" s="252"/>
      <c r="D66" s="165" t="s">
        <v>250</v>
      </c>
      <c r="E66" s="155" t="s">
        <v>251</v>
      </c>
      <c r="F66" s="149"/>
      <c r="G66" s="150"/>
      <c r="H66" s="150"/>
      <c r="I66" s="150"/>
      <c r="J66" s="150"/>
      <c r="K66" s="150"/>
      <c r="L66" s="151"/>
      <c r="M66" s="129">
        <f t="shared" si="0"/>
        <v>0</v>
      </c>
      <c r="N66" s="130">
        <f t="shared" si="1"/>
        <v>0</v>
      </c>
      <c r="O66" s="248"/>
      <c r="P66" s="250"/>
    </row>
    <row r="67" spans="2:16" ht="20.399999999999999" x14ac:dyDescent="0.5">
      <c r="B67" s="252"/>
      <c r="C67" s="252"/>
      <c r="D67" s="165" t="s">
        <v>252</v>
      </c>
      <c r="E67" s="155" t="s">
        <v>253</v>
      </c>
      <c r="F67" s="149"/>
      <c r="G67" s="150"/>
      <c r="H67" s="150"/>
      <c r="I67" s="150"/>
      <c r="J67" s="150"/>
      <c r="K67" s="150"/>
      <c r="L67" s="151"/>
      <c r="M67" s="129">
        <f t="shared" si="0"/>
        <v>0</v>
      </c>
      <c r="N67" s="130">
        <f t="shared" si="1"/>
        <v>0</v>
      </c>
      <c r="O67" s="248"/>
      <c r="P67" s="250"/>
    </row>
    <row r="68" spans="2:16" ht="20.399999999999999" x14ac:dyDescent="0.5">
      <c r="B68" s="253"/>
      <c r="C68" s="253"/>
      <c r="D68" s="166" t="s">
        <v>254</v>
      </c>
      <c r="E68" s="167" t="s">
        <v>255</v>
      </c>
      <c r="F68" s="168"/>
      <c r="G68" s="169"/>
      <c r="H68" s="169"/>
      <c r="I68" s="169"/>
      <c r="J68" s="169"/>
      <c r="K68" s="169"/>
      <c r="L68" s="170"/>
      <c r="M68" s="142">
        <f t="shared" si="0"/>
        <v>0</v>
      </c>
      <c r="N68" s="143">
        <f t="shared" si="1"/>
        <v>0</v>
      </c>
      <c r="O68" s="242"/>
      <c r="P68" s="244"/>
    </row>
    <row r="69" spans="2:16" ht="20.399999999999999" x14ac:dyDescent="0.5">
      <c r="B69" s="239" t="s">
        <v>160</v>
      </c>
      <c r="C69" s="239" t="s">
        <v>256</v>
      </c>
      <c r="D69" s="171" t="s">
        <v>257</v>
      </c>
      <c r="E69" s="145" t="s">
        <v>258</v>
      </c>
      <c r="F69" s="146"/>
      <c r="G69" s="121"/>
      <c r="H69" s="121"/>
      <c r="I69" s="121"/>
      <c r="J69" s="121"/>
      <c r="K69" s="121"/>
      <c r="L69" s="122"/>
      <c r="M69" s="123">
        <f t="shared" si="0"/>
        <v>0</v>
      </c>
      <c r="N69" s="124">
        <f t="shared" si="1"/>
        <v>0</v>
      </c>
      <c r="O69" s="241">
        <f>SUM(M69:M73)</f>
        <v>0</v>
      </c>
      <c r="P69" s="243">
        <f>O69/O91</f>
        <v>0</v>
      </c>
    </row>
    <row r="70" spans="2:16" ht="20.399999999999999" x14ac:dyDescent="0.5">
      <c r="B70" s="246"/>
      <c r="C70" s="246"/>
      <c r="D70" s="172" t="s">
        <v>259</v>
      </c>
      <c r="E70" s="155" t="s">
        <v>260</v>
      </c>
      <c r="F70" s="149"/>
      <c r="G70" s="150"/>
      <c r="H70" s="150"/>
      <c r="I70" s="150"/>
      <c r="J70" s="150"/>
      <c r="K70" s="150"/>
      <c r="L70" s="151"/>
      <c r="M70" s="129">
        <f t="shared" ref="M70:M90" si="2">SUM(F70:L70)</f>
        <v>0</v>
      </c>
      <c r="N70" s="130">
        <f t="shared" ref="N70:N90" si="3">M70/$M$91</f>
        <v>0</v>
      </c>
      <c r="O70" s="247"/>
      <c r="P70" s="249"/>
    </row>
    <row r="71" spans="2:16" ht="20.399999999999999" x14ac:dyDescent="0.5">
      <c r="B71" s="246"/>
      <c r="C71" s="246"/>
      <c r="D71" s="172" t="s">
        <v>261</v>
      </c>
      <c r="E71" s="155" t="s">
        <v>262</v>
      </c>
      <c r="F71" s="149"/>
      <c r="G71" s="150"/>
      <c r="H71" s="150"/>
      <c r="I71" s="150"/>
      <c r="J71" s="150"/>
      <c r="K71" s="150"/>
      <c r="L71" s="151"/>
      <c r="M71" s="129">
        <f t="shared" si="2"/>
        <v>0</v>
      </c>
      <c r="N71" s="130">
        <f t="shared" si="3"/>
        <v>0</v>
      </c>
      <c r="O71" s="248"/>
      <c r="P71" s="250"/>
    </row>
    <row r="72" spans="2:16" ht="20.399999999999999" x14ac:dyDescent="0.5">
      <c r="B72" s="246"/>
      <c r="C72" s="246"/>
      <c r="D72" s="172" t="s">
        <v>263</v>
      </c>
      <c r="E72" s="173" t="s">
        <v>264</v>
      </c>
      <c r="F72" s="149"/>
      <c r="G72" s="150"/>
      <c r="H72" s="150"/>
      <c r="I72" s="150"/>
      <c r="J72" s="150"/>
      <c r="K72" s="150"/>
      <c r="L72" s="151"/>
      <c r="M72" s="129">
        <f t="shared" si="2"/>
        <v>0</v>
      </c>
      <c r="N72" s="130">
        <f t="shared" si="3"/>
        <v>0</v>
      </c>
      <c r="O72" s="248"/>
      <c r="P72" s="250"/>
    </row>
    <row r="73" spans="2:16" ht="20.399999999999999" x14ac:dyDescent="0.5">
      <c r="B73" s="240"/>
      <c r="C73" s="240"/>
      <c r="D73" s="174" t="s">
        <v>265</v>
      </c>
      <c r="E73" s="167" t="s">
        <v>266</v>
      </c>
      <c r="F73" s="139"/>
      <c r="G73" s="140"/>
      <c r="H73" s="140"/>
      <c r="I73" s="140"/>
      <c r="J73" s="140"/>
      <c r="K73" s="140"/>
      <c r="L73" s="141"/>
      <c r="M73" s="142">
        <f t="shared" si="2"/>
        <v>0</v>
      </c>
      <c r="N73" s="143">
        <f t="shared" si="3"/>
        <v>0</v>
      </c>
      <c r="O73" s="242"/>
      <c r="P73" s="244"/>
    </row>
    <row r="74" spans="2:16" ht="20.399999999999999" x14ac:dyDescent="0.5">
      <c r="B74" s="239" t="s">
        <v>267</v>
      </c>
      <c r="C74" s="239" t="s">
        <v>268</v>
      </c>
      <c r="D74" s="171" t="s">
        <v>269</v>
      </c>
      <c r="E74" s="145" t="s">
        <v>270</v>
      </c>
      <c r="F74" s="146"/>
      <c r="G74" s="121"/>
      <c r="H74" s="121"/>
      <c r="I74" s="121"/>
      <c r="J74" s="121"/>
      <c r="K74" s="121"/>
      <c r="L74" s="175"/>
      <c r="M74" s="176">
        <f t="shared" si="2"/>
        <v>0</v>
      </c>
      <c r="N74" s="124">
        <f t="shared" si="3"/>
        <v>0</v>
      </c>
      <c r="O74" s="241">
        <f>SUM(M74:M86)</f>
        <v>0</v>
      </c>
      <c r="P74" s="243">
        <f>O74/O91</f>
        <v>0</v>
      </c>
    </row>
    <row r="75" spans="2:16" x14ac:dyDescent="0.5">
      <c r="B75" s="246"/>
      <c r="C75" s="246"/>
      <c r="D75" s="177"/>
      <c r="E75" s="178" t="s">
        <v>271</v>
      </c>
      <c r="F75" s="149"/>
      <c r="G75" s="150"/>
      <c r="H75" s="150"/>
      <c r="I75" s="150"/>
      <c r="J75" s="150"/>
      <c r="K75" s="150"/>
      <c r="L75" s="179"/>
      <c r="M75" s="129">
        <f t="shared" si="2"/>
        <v>0</v>
      </c>
      <c r="N75" s="130">
        <f t="shared" si="3"/>
        <v>0</v>
      </c>
      <c r="O75" s="247"/>
      <c r="P75" s="249"/>
    </row>
    <row r="76" spans="2:16" x14ac:dyDescent="0.5">
      <c r="B76" s="246"/>
      <c r="C76" s="246"/>
      <c r="D76" s="177"/>
      <c r="E76" s="178" t="s">
        <v>272</v>
      </c>
      <c r="F76" s="149"/>
      <c r="G76" s="150"/>
      <c r="H76" s="150"/>
      <c r="I76" s="150"/>
      <c r="J76" s="150"/>
      <c r="K76" s="150"/>
      <c r="L76" s="179"/>
      <c r="M76" s="129">
        <f t="shared" si="2"/>
        <v>0</v>
      </c>
      <c r="N76" s="130">
        <f t="shared" si="3"/>
        <v>0</v>
      </c>
      <c r="O76" s="247"/>
      <c r="P76" s="249"/>
    </row>
    <row r="77" spans="2:16" ht="20.399999999999999" x14ac:dyDescent="0.5">
      <c r="B77" s="246"/>
      <c r="C77" s="246"/>
      <c r="D77" s="172" t="s">
        <v>273</v>
      </c>
      <c r="E77" s="155" t="s">
        <v>274</v>
      </c>
      <c r="F77" s="149"/>
      <c r="G77" s="150"/>
      <c r="H77" s="150"/>
      <c r="I77" s="150"/>
      <c r="J77" s="150"/>
      <c r="K77" s="150"/>
      <c r="L77" s="179"/>
      <c r="M77" s="129">
        <f t="shared" si="2"/>
        <v>0</v>
      </c>
      <c r="N77" s="130">
        <f t="shared" si="3"/>
        <v>0</v>
      </c>
      <c r="O77" s="247"/>
      <c r="P77" s="249"/>
    </row>
    <row r="78" spans="2:16" x14ac:dyDescent="0.5">
      <c r="B78" s="246"/>
      <c r="C78" s="246"/>
      <c r="D78" s="180"/>
      <c r="E78" s="132" t="s">
        <v>275</v>
      </c>
      <c r="F78" s="149"/>
      <c r="G78" s="150"/>
      <c r="H78" s="150"/>
      <c r="I78" s="150"/>
      <c r="J78" s="150"/>
      <c r="K78" s="150"/>
      <c r="L78" s="179"/>
      <c r="M78" s="129">
        <f t="shared" si="2"/>
        <v>0</v>
      </c>
      <c r="N78" s="130">
        <f t="shared" si="3"/>
        <v>0</v>
      </c>
      <c r="O78" s="247"/>
      <c r="P78" s="249"/>
    </row>
    <row r="79" spans="2:16" x14ac:dyDescent="0.5">
      <c r="B79" s="246"/>
      <c r="C79" s="246"/>
      <c r="D79" s="180"/>
      <c r="E79" s="132" t="s">
        <v>276</v>
      </c>
      <c r="F79" s="149"/>
      <c r="G79" s="150"/>
      <c r="H79" s="150"/>
      <c r="I79" s="150"/>
      <c r="J79" s="150"/>
      <c r="K79" s="150"/>
      <c r="L79" s="179"/>
      <c r="M79" s="129">
        <f t="shared" si="2"/>
        <v>0</v>
      </c>
      <c r="N79" s="130">
        <f t="shared" si="3"/>
        <v>0</v>
      </c>
      <c r="O79" s="247"/>
      <c r="P79" s="249"/>
    </row>
    <row r="80" spans="2:16" ht="20.399999999999999" x14ac:dyDescent="0.5">
      <c r="B80" s="246"/>
      <c r="C80" s="246"/>
      <c r="D80" s="172" t="s">
        <v>277</v>
      </c>
      <c r="E80" s="155" t="s">
        <v>278</v>
      </c>
      <c r="F80" s="149"/>
      <c r="G80" s="150"/>
      <c r="H80" s="150"/>
      <c r="I80" s="150"/>
      <c r="J80" s="150"/>
      <c r="K80" s="150"/>
      <c r="L80" s="179"/>
      <c r="M80" s="129">
        <f t="shared" si="2"/>
        <v>0</v>
      </c>
      <c r="N80" s="130">
        <f t="shared" si="3"/>
        <v>0</v>
      </c>
      <c r="O80" s="247"/>
      <c r="P80" s="249"/>
    </row>
    <row r="81" spans="2:16" x14ac:dyDescent="0.5">
      <c r="B81" s="246"/>
      <c r="C81" s="246"/>
      <c r="D81" s="181"/>
      <c r="E81" s="182" t="s">
        <v>279</v>
      </c>
      <c r="F81" s="149"/>
      <c r="G81" s="150"/>
      <c r="H81" s="150"/>
      <c r="I81" s="150"/>
      <c r="J81" s="150"/>
      <c r="K81" s="150"/>
      <c r="L81" s="179"/>
      <c r="M81" s="129">
        <f t="shared" si="2"/>
        <v>0</v>
      </c>
      <c r="N81" s="130">
        <f t="shared" si="3"/>
        <v>0</v>
      </c>
      <c r="O81" s="247"/>
      <c r="P81" s="249"/>
    </row>
    <row r="82" spans="2:16" x14ac:dyDescent="0.5">
      <c r="B82" s="246"/>
      <c r="C82" s="246"/>
      <c r="D82" s="181"/>
      <c r="E82" s="182" t="s">
        <v>280</v>
      </c>
      <c r="F82" s="149"/>
      <c r="G82" s="150"/>
      <c r="H82" s="150"/>
      <c r="I82" s="150"/>
      <c r="J82" s="150"/>
      <c r="K82" s="150"/>
      <c r="L82" s="179"/>
      <c r="M82" s="129">
        <f t="shared" si="2"/>
        <v>0</v>
      </c>
      <c r="N82" s="130">
        <f t="shared" si="3"/>
        <v>0</v>
      </c>
      <c r="O82" s="247"/>
      <c r="P82" s="249"/>
    </row>
    <row r="83" spans="2:16" x14ac:dyDescent="0.5">
      <c r="B83" s="246"/>
      <c r="C83" s="246"/>
      <c r="D83" s="181"/>
      <c r="E83" s="182" t="s">
        <v>281</v>
      </c>
      <c r="F83" s="149"/>
      <c r="G83" s="150"/>
      <c r="H83" s="150"/>
      <c r="I83" s="150"/>
      <c r="J83" s="150"/>
      <c r="K83" s="150"/>
      <c r="L83" s="179"/>
      <c r="M83" s="129">
        <f t="shared" si="2"/>
        <v>0</v>
      </c>
      <c r="N83" s="130">
        <f t="shared" si="3"/>
        <v>0</v>
      </c>
      <c r="O83" s="247"/>
      <c r="P83" s="249"/>
    </row>
    <row r="84" spans="2:16" ht="20.399999999999999" x14ac:dyDescent="0.5">
      <c r="B84" s="246"/>
      <c r="C84" s="246"/>
      <c r="D84" s="172" t="s">
        <v>282</v>
      </c>
      <c r="E84" s="173" t="s">
        <v>283</v>
      </c>
      <c r="F84" s="149"/>
      <c r="G84" s="150"/>
      <c r="H84" s="150"/>
      <c r="I84" s="150"/>
      <c r="J84" s="150"/>
      <c r="K84" s="150"/>
      <c r="L84" s="179"/>
      <c r="M84" s="129">
        <f t="shared" si="2"/>
        <v>0</v>
      </c>
      <c r="N84" s="130">
        <f t="shared" si="3"/>
        <v>0</v>
      </c>
      <c r="O84" s="247"/>
      <c r="P84" s="249"/>
    </row>
    <row r="85" spans="2:16" x14ac:dyDescent="0.5">
      <c r="B85" s="246"/>
      <c r="C85" s="246"/>
      <c r="D85" s="181"/>
      <c r="E85" s="182" t="s">
        <v>284</v>
      </c>
      <c r="F85" s="149"/>
      <c r="G85" s="150"/>
      <c r="H85" s="150"/>
      <c r="I85" s="150"/>
      <c r="J85" s="150"/>
      <c r="K85" s="150"/>
      <c r="L85" s="179"/>
      <c r="M85" s="129">
        <f t="shared" si="2"/>
        <v>0</v>
      </c>
      <c r="N85" s="130">
        <f t="shared" si="3"/>
        <v>0</v>
      </c>
      <c r="O85" s="247"/>
      <c r="P85" s="249"/>
    </row>
    <row r="86" spans="2:16" x14ac:dyDescent="0.5">
      <c r="B86" s="240"/>
      <c r="C86" s="240"/>
      <c r="D86" s="183"/>
      <c r="E86" s="184" t="s">
        <v>285</v>
      </c>
      <c r="F86" s="168"/>
      <c r="G86" s="169"/>
      <c r="H86" s="169"/>
      <c r="I86" s="169"/>
      <c r="J86" s="169"/>
      <c r="K86" s="169"/>
      <c r="L86" s="170"/>
      <c r="M86" s="142">
        <f t="shared" si="2"/>
        <v>0</v>
      </c>
      <c r="N86" s="143">
        <f t="shared" si="3"/>
        <v>0</v>
      </c>
      <c r="O86" s="242"/>
      <c r="P86" s="244"/>
    </row>
    <row r="87" spans="2:16" ht="20.399999999999999" x14ac:dyDescent="0.5">
      <c r="B87" s="239" t="s">
        <v>286</v>
      </c>
      <c r="C87" s="239" t="s">
        <v>287</v>
      </c>
      <c r="D87" s="185" t="s">
        <v>288</v>
      </c>
      <c r="E87" s="145" t="s">
        <v>289</v>
      </c>
      <c r="F87" s="146"/>
      <c r="G87" s="121"/>
      <c r="H87" s="121"/>
      <c r="I87" s="121"/>
      <c r="J87" s="121"/>
      <c r="K87" s="121"/>
      <c r="L87" s="122"/>
      <c r="M87" s="176">
        <f t="shared" si="2"/>
        <v>0</v>
      </c>
      <c r="N87" s="124">
        <f t="shared" si="3"/>
        <v>0</v>
      </c>
      <c r="O87" s="241">
        <f>SUM(M87:M88)</f>
        <v>0</v>
      </c>
      <c r="P87" s="243">
        <f>O87/O91</f>
        <v>0</v>
      </c>
    </row>
    <row r="88" spans="2:16" ht="20.399999999999999" x14ac:dyDescent="0.5">
      <c r="B88" s="240"/>
      <c r="C88" s="240"/>
      <c r="D88" s="174" t="s">
        <v>290</v>
      </c>
      <c r="E88" s="167" t="s">
        <v>291</v>
      </c>
      <c r="F88" s="139"/>
      <c r="G88" s="140"/>
      <c r="H88" s="140"/>
      <c r="I88" s="140"/>
      <c r="J88" s="140"/>
      <c r="K88" s="140"/>
      <c r="L88" s="141"/>
      <c r="M88" s="142">
        <f t="shared" si="2"/>
        <v>0</v>
      </c>
      <c r="N88" s="143">
        <f t="shared" si="3"/>
        <v>0</v>
      </c>
      <c r="O88" s="242"/>
      <c r="P88" s="244"/>
    </row>
    <row r="89" spans="2:16" ht="20.399999999999999" x14ac:dyDescent="0.5">
      <c r="B89" s="137" t="s">
        <v>292</v>
      </c>
      <c r="C89" s="137" t="s">
        <v>293</v>
      </c>
      <c r="D89" s="186" t="s">
        <v>294</v>
      </c>
      <c r="E89" s="187" t="s">
        <v>295</v>
      </c>
      <c r="F89" s="168"/>
      <c r="G89" s="169"/>
      <c r="H89" s="169"/>
      <c r="I89" s="169"/>
      <c r="J89" s="169"/>
      <c r="K89" s="169"/>
      <c r="L89" s="170"/>
      <c r="M89" s="176">
        <f t="shared" si="2"/>
        <v>0</v>
      </c>
      <c r="N89" s="124">
        <f t="shared" si="3"/>
        <v>0</v>
      </c>
      <c r="O89" s="108">
        <f>M89</f>
        <v>0</v>
      </c>
      <c r="P89" s="188">
        <f>O89/O91</f>
        <v>0</v>
      </c>
    </row>
    <row r="90" spans="2:16" ht="20.399999999999999" x14ac:dyDescent="0.5">
      <c r="B90" s="137" t="s">
        <v>296</v>
      </c>
      <c r="C90" s="137" t="s">
        <v>297</v>
      </c>
      <c r="D90" s="189" t="s">
        <v>298</v>
      </c>
      <c r="E90" s="187" t="s">
        <v>299</v>
      </c>
      <c r="F90" s="168"/>
      <c r="G90" s="169"/>
      <c r="H90" s="169"/>
      <c r="I90" s="169"/>
      <c r="J90" s="169"/>
      <c r="K90" s="169"/>
      <c r="L90" s="170"/>
      <c r="M90" s="176">
        <f t="shared" si="2"/>
        <v>0</v>
      </c>
      <c r="N90" s="124">
        <f t="shared" si="3"/>
        <v>0</v>
      </c>
      <c r="O90" s="108">
        <f>M90</f>
        <v>0</v>
      </c>
      <c r="P90" s="188">
        <f>O90/O91</f>
        <v>0</v>
      </c>
    </row>
    <row r="91" spans="2:16" ht="20.399999999999999" x14ac:dyDescent="0.5">
      <c r="B91" s="245" t="s">
        <v>158</v>
      </c>
      <c r="C91" s="245"/>
      <c r="D91" s="240"/>
      <c r="E91" s="240"/>
      <c r="F91" s="190">
        <f>SUM(F6:F90)</f>
        <v>0</v>
      </c>
      <c r="G91" s="190">
        <f t="shared" ref="G91:L91" si="4">SUM(G6:G90)</f>
        <v>0</v>
      </c>
      <c r="H91" s="190">
        <f t="shared" si="4"/>
        <v>0</v>
      </c>
      <c r="I91" s="190">
        <f t="shared" si="4"/>
        <v>0</v>
      </c>
      <c r="J91" s="190">
        <f t="shared" si="4"/>
        <v>0</v>
      </c>
      <c r="K91" s="190">
        <f>SUM(K6:K90)</f>
        <v>0</v>
      </c>
      <c r="L91" s="191">
        <f t="shared" si="4"/>
        <v>19</v>
      </c>
      <c r="M91" s="192">
        <f>SUM(M6:M90)</f>
        <v>19</v>
      </c>
      <c r="N91" s="193">
        <f>SUM(N6:N90)</f>
        <v>1</v>
      </c>
      <c r="O91" s="190">
        <f>SUM(O6:O90)</f>
        <v>19</v>
      </c>
      <c r="P91" s="194">
        <f>SUM(P6:P90)</f>
        <v>1</v>
      </c>
    </row>
  </sheetData>
  <mergeCells count="36">
    <mergeCell ref="B2:P2"/>
    <mergeCell ref="B3:C5"/>
    <mergeCell ref="D3:E5"/>
    <mergeCell ref="F3:L4"/>
    <mergeCell ref="M3:P3"/>
    <mergeCell ref="M4:N4"/>
    <mergeCell ref="O4:P4"/>
    <mergeCell ref="B6:B13"/>
    <mergeCell ref="C6:C13"/>
    <mergeCell ref="O6:O13"/>
    <mergeCell ref="P6:P13"/>
    <mergeCell ref="B14:B40"/>
    <mergeCell ref="C14:C40"/>
    <mergeCell ref="O14:O40"/>
    <mergeCell ref="P14:P40"/>
    <mergeCell ref="B41:B58"/>
    <mergeCell ref="C41:C58"/>
    <mergeCell ref="O41:O58"/>
    <mergeCell ref="P41:P58"/>
    <mergeCell ref="B59:B68"/>
    <mergeCell ref="C59:C68"/>
    <mergeCell ref="O59:O68"/>
    <mergeCell ref="P59:P68"/>
    <mergeCell ref="B69:B73"/>
    <mergeCell ref="C69:C73"/>
    <mergeCell ref="O69:O73"/>
    <mergeCell ref="P69:P73"/>
    <mergeCell ref="B74:B86"/>
    <mergeCell ref="C74:C86"/>
    <mergeCell ref="O74:O86"/>
    <mergeCell ref="P74:P86"/>
    <mergeCell ref="B87:B88"/>
    <mergeCell ref="C87:C88"/>
    <mergeCell ref="O87:O88"/>
    <mergeCell ref="P87:P88"/>
    <mergeCell ref="B91:E91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4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AB44-5696-4DA3-A460-C3B19B4B2E4F}">
  <sheetPr>
    <tabColor rgb="FF92D050"/>
    <pageSetUpPr fitToPage="1"/>
  </sheetPr>
  <dimension ref="B2:P91"/>
  <sheetViews>
    <sheetView workbookViewId="0">
      <selection activeCell="E15" sqref="E15"/>
    </sheetView>
  </sheetViews>
  <sheetFormatPr defaultColWidth="8.69921875" defaultRowHeight="19.8" x14ac:dyDescent="0.5"/>
  <cols>
    <col min="1" max="1" width="2.59765625" style="115" customWidth="1"/>
    <col min="2" max="2" width="8.69921875" style="195"/>
    <col min="3" max="3" width="20.69921875" style="195" customWidth="1"/>
    <col min="4" max="4" width="8.69921875" style="195"/>
    <col min="5" max="5" width="61" style="195" customWidth="1"/>
    <col min="6" max="12" width="8.69921875" style="195"/>
    <col min="13" max="16" width="10.69921875" style="195" customWidth="1"/>
    <col min="17" max="16384" width="8.69921875" style="115"/>
  </cols>
  <sheetData>
    <row r="2" spans="2:16" ht="26.4" x14ac:dyDescent="0.5">
      <c r="B2" s="256" t="s">
        <v>312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</row>
    <row r="3" spans="2:16" ht="20.399999999999999" x14ac:dyDescent="0.5">
      <c r="B3" s="257" t="s">
        <v>155</v>
      </c>
      <c r="C3" s="258"/>
      <c r="D3" s="257" t="s">
        <v>156</v>
      </c>
      <c r="E3" s="258"/>
      <c r="F3" s="257" t="s">
        <v>157</v>
      </c>
      <c r="G3" s="263"/>
      <c r="H3" s="263"/>
      <c r="I3" s="263"/>
      <c r="J3" s="263"/>
      <c r="K3" s="263"/>
      <c r="L3" s="264"/>
      <c r="M3" s="267" t="s">
        <v>158</v>
      </c>
      <c r="N3" s="267"/>
      <c r="O3" s="268"/>
      <c r="P3" s="268"/>
    </row>
    <row r="4" spans="2:16" ht="20.399999999999999" x14ac:dyDescent="0.5">
      <c r="B4" s="259"/>
      <c r="C4" s="260"/>
      <c r="D4" s="259"/>
      <c r="E4" s="260"/>
      <c r="F4" s="261"/>
      <c r="G4" s="265"/>
      <c r="H4" s="265"/>
      <c r="I4" s="265"/>
      <c r="J4" s="265"/>
      <c r="K4" s="265"/>
      <c r="L4" s="266"/>
      <c r="M4" s="269" t="s">
        <v>156</v>
      </c>
      <c r="N4" s="267"/>
      <c r="O4" s="270" t="s">
        <v>155</v>
      </c>
      <c r="P4" s="267"/>
    </row>
    <row r="5" spans="2:16" ht="20.399999999999999" x14ac:dyDescent="0.5">
      <c r="B5" s="261"/>
      <c r="C5" s="262"/>
      <c r="D5" s="261"/>
      <c r="E5" s="262"/>
      <c r="F5" s="117" t="s">
        <v>70</v>
      </c>
      <c r="G5" s="117" t="s">
        <v>122</v>
      </c>
      <c r="H5" s="117" t="s">
        <v>130</v>
      </c>
      <c r="I5" s="117" t="s">
        <v>159</v>
      </c>
      <c r="J5" s="117" t="s">
        <v>160</v>
      </c>
      <c r="K5" s="117" t="s">
        <v>161</v>
      </c>
      <c r="L5" s="118" t="s">
        <v>162</v>
      </c>
      <c r="M5" s="116" t="s">
        <v>163</v>
      </c>
      <c r="N5" s="116" t="s">
        <v>164</v>
      </c>
      <c r="O5" s="117" t="s">
        <v>163</v>
      </c>
      <c r="P5" s="117" t="s">
        <v>164</v>
      </c>
    </row>
    <row r="6" spans="2:16" ht="20.399999999999999" x14ac:dyDescent="0.5">
      <c r="B6" s="239" t="s">
        <v>70</v>
      </c>
      <c r="C6" s="239" t="s">
        <v>165</v>
      </c>
      <c r="D6" s="119" t="s">
        <v>166</v>
      </c>
      <c r="E6" s="120" t="s">
        <v>167</v>
      </c>
      <c r="F6" s="121"/>
      <c r="G6" s="121"/>
      <c r="H6" s="121"/>
      <c r="I6" s="121"/>
      <c r="J6" s="121"/>
      <c r="K6" s="121"/>
      <c r="L6" s="122">
        <v>3</v>
      </c>
      <c r="M6" s="123">
        <f t="shared" ref="M6:M69" si="0">SUM(F6:L6)</f>
        <v>3</v>
      </c>
      <c r="N6" s="124">
        <f t="shared" ref="N6:N69" si="1">M6/$M$91</f>
        <v>0.15789473684210525</v>
      </c>
      <c r="O6" s="241">
        <f>SUM(M6:M13)</f>
        <v>5</v>
      </c>
      <c r="P6" s="243">
        <f>O6/O91</f>
        <v>0.26315789473684209</v>
      </c>
    </row>
    <row r="7" spans="2:16" ht="20.399999999999999" x14ac:dyDescent="0.5">
      <c r="B7" s="246"/>
      <c r="C7" s="246"/>
      <c r="D7" s="125" t="s">
        <v>168</v>
      </c>
      <c r="E7" s="126" t="s">
        <v>169</v>
      </c>
      <c r="F7" s="127"/>
      <c r="G7" s="127"/>
      <c r="H7" s="127"/>
      <c r="I7" s="127"/>
      <c r="J7" s="127"/>
      <c r="K7" s="127"/>
      <c r="L7" s="128"/>
      <c r="M7" s="129">
        <f t="shared" si="0"/>
        <v>0</v>
      </c>
      <c r="N7" s="130">
        <f t="shared" si="1"/>
        <v>0</v>
      </c>
      <c r="O7" s="248"/>
      <c r="P7" s="250"/>
    </row>
    <row r="8" spans="2:16" ht="20.399999999999999" x14ac:dyDescent="0.5">
      <c r="B8" s="246"/>
      <c r="C8" s="246"/>
      <c r="D8" s="125" t="s">
        <v>170</v>
      </c>
      <c r="E8" s="126" t="s">
        <v>171</v>
      </c>
      <c r="F8" s="127"/>
      <c r="G8" s="127"/>
      <c r="H8" s="127"/>
      <c r="I8" s="127"/>
      <c r="J8" s="127"/>
      <c r="K8" s="127"/>
      <c r="L8" s="128">
        <v>1</v>
      </c>
      <c r="M8" s="129">
        <f t="shared" si="0"/>
        <v>1</v>
      </c>
      <c r="N8" s="130">
        <f t="shared" si="1"/>
        <v>5.2631578947368418E-2</v>
      </c>
      <c r="O8" s="248"/>
      <c r="P8" s="250"/>
    </row>
    <row r="9" spans="2:16" ht="20.399999999999999" x14ac:dyDescent="0.5">
      <c r="B9" s="246"/>
      <c r="C9" s="246"/>
      <c r="D9" s="125" t="s">
        <v>172</v>
      </c>
      <c r="E9" s="126" t="s">
        <v>173</v>
      </c>
      <c r="F9" s="127"/>
      <c r="G9" s="127"/>
      <c r="H9" s="127"/>
      <c r="I9" s="127"/>
      <c r="J9" s="127"/>
      <c r="K9" s="127"/>
      <c r="L9" s="128">
        <v>1</v>
      </c>
      <c r="M9" s="129">
        <f t="shared" si="0"/>
        <v>1</v>
      </c>
      <c r="N9" s="130">
        <f t="shared" si="1"/>
        <v>5.2631578947368418E-2</v>
      </c>
      <c r="O9" s="248"/>
      <c r="P9" s="250"/>
    </row>
    <row r="10" spans="2:16" ht="20.399999999999999" x14ac:dyDescent="0.5">
      <c r="B10" s="246"/>
      <c r="C10" s="246"/>
      <c r="D10" s="125" t="s">
        <v>174</v>
      </c>
      <c r="E10" s="126" t="s">
        <v>175</v>
      </c>
      <c r="F10" s="127"/>
      <c r="G10" s="127"/>
      <c r="H10" s="127"/>
      <c r="I10" s="127"/>
      <c r="J10" s="127"/>
      <c r="K10" s="127"/>
      <c r="L10" s="128"/>
      <c r="M10" s="129">
        <f t="shared" si="0"/>
        <v>0</v>
      </c>
      <c r="N10" s="130">
        <f t="shared" si="1"/>
        <v>0</v>
      </c>
      <c r="O10" s="248"/>
      <c r="P10" s="250"/>
    </row>
    <row r="11" spans="2:16" ht="20.399999999999999" x14ac:dyDescent="0.5">
      <c r="B11" s="246"/>
      <c r="C11" s="246"/>
      <c r="D11" s="131"/>
      <c r="E11" s="132" t="s">
        <v>176</v>
      </c>
      <c r="F11" s="133"/>
      <c r="G11" s="127"/>
      <c r="H11" s="127"/>
      <c r="I11" s="127"/>
      <c r="J11" s="127"/>
      <c r="K11" s="127"/>
      <c r="L11" s="128"/>
      <c r="M11" s="129">
        <f t="shared" si="0"/>
        <v>0</v>
      </c>
      <c r="N11" s="130">
        <f t="shared" si="1"/>
        <v>0</v>
      </c>
      <c r="O11" s="248"/>
      <c r="P11" s="250"/>
    </row>
    <row r="12" spans="2:16" ht="20.399999999999999" x14ac:dyDescent="0.5">
      <c r="B12" s="246"/>
      <c r="C12" s="246"/>
      <c r="D12" s="131"/>
      <c r="E12" s="132" t="s">
        <v>177</v>
      </c>
      <c r="F12" s="134"/>
      <c r="G12" s="135"/>
      <c r="H12" s="135"/>
      <c r="I12" s="135"/>
      <c r="J12" s="135"/>
      <c r="K12" s="135"/>
      <c r="L12" s="136"/>
      <c r="M12" s="129">
        <f t="shared" si="0"/>
        <v>0</v>
      </c>
      <c r="N12" s="130">
        <f t="shared" si="1"/>
        <v>0</v>
      </c>
      <c r="O12" s="254"/>
      <c r="P12" s="255"/>
    </row>
    <row r="13" spans="2:16" ht="20.399999999999999" x14ac:dyDescent="0.5">
      <c r="B13" s="240"/>
      <c r="C13" s="240"/>
      <c r="D13" s="131"/>
      <c r="E13" s="138" t="s">
        <v>178</v>
      </c>
      <c r="F13" s="139"/>
      <c r="G13" s="140"/>
      <c r="H13" s="140"/>
      <c r="I13" s="140"/>
      <c r="J13" s="140"/>
      <c r="K13" s="140"/>
      <c r="L13" s="141"/>
      <c r="M13" s="142">
        <f t="shared" si="0"/>
        <v>0</v>
      </c>
      <c r="N13" s="143">
        <f t="shared" si="1"/>
        <v>0</v>
      </c>
      <c r="O13" s="242"/>
      <c r="P13" s="244"/>
    </row>
    <row r="14" spans="2:16" ht="20.399999999999999" x14ac:dyDescent="0.5">
      <c r="B14" s="239" t="s">
        <v>122</v>
      </c>
      <c r="C14" s="239" t="s">
        <v>179</v>
      </c>
      <c r="D14" s="144" t="s">
        <v>180</v>
      </c>
      <c r="E14" s="145" t="s">
        <v>181</v>
      </c>
      <c r="F14" s="146"/>
      <c r="G14" s="121"/>
      <c r="H14" s="121"/>
      <c r="I14" s="121"/>
      <c r="J14" s="121"/>
      <c r="K14" s="121"/>
      <c r="L14" s="122"/>
      <c r="M14" s="123">
        <f t="shared" si="0"/>
        <v>0</v>
      </c>
      <c r="N14" s="124">
        <f t="shared" si="1"/>
        <v>0</v>
      </c>
      <c r="O14" s="241">
        <f>SUM(M14:M40)</f>
        <v>10</v>
      </c>
      <c r="P14" s="243">
        <f>O14/O91</f>
        <v>0.52631578947368418</v>
      </c>
    </row>
    <row r="15" spans="2:16" x14ac:dyDescent="0.5">
      <c r="B15" s="246"/>
      <c r="C15" s="246"/>
      <c r="D15" s="147"/>
      <c r="E15" s="148" t="s">
        <v>182</v>
      </c>
      <c r="F15" s="149"/>
      <c r="G15" s="150"/>
      <c r="H15" s="150"/>
      <c r="I15" s="150"/>
      <c r="J15" s="150"/>
      <c r="K15" s="150"/>
      <c r="L15" s="151"/>
      <c r="M15" s="129">
        <f t="shared" si="0"/>
        <v>0</v>
      </c>
      <c r="N15" s="130">
        <f t="shared" si="1"/>
        <v>0</v>
      </c>
      <c r="O15" s="247"/>
      <c r="P15" s="249"/>
    </row>
    <row r="16" spans="2:16" x14ac:dyDescent="0.5">
      <c r="B16" s="246"/>
      <c r="C16" s="246"/>
      <c r="D16" s="152"/>
      <c r="E16" s="153" t="s">
        <v>183</v>
      </c>
      <c r="F16" s="133"/>
      <c r="G16" s="150"/>
      <c r="H16" s="150"/>
      <c r="I16" s="150"/>
      <c r="J16" s="150"/>
      <c r="K16" s="150"/>
      <c r="L16" s="151"/>
      <c r="M16" s="129">
        <f t="shared" si="0"/>
        <v>0</v>
      </c>
      <c r="N16" s="130">
        <f t="shared" si="1"/>
        <v>0</v>
      </c>
      <c r="O16" s="247"/>
      <c r="P16" s="249"/>
    </row>
    <row r="17" spans="2:16" ht="20.399999999999999" x14ac:dyDescent="0.5">
      <c r="B17" s="246"/>
      <c r="C17" s="246"/>
      <c r="D17" s="154" t="s">
        <v>184</v>
      </c>
      <c r="E17" s="155" t="s">
        <v>185</v>
      </c>
      <c r="F17" s="133"/>
      <c r="G17" s="150"/>
      <c r="H17" s="150"/>
      <c r="I17" s="150"/>
      <c r="J17" s="150"/>
      <c r="K17" s="150"/>
      <c r="L17" s="151"/>
      <c r="M17" s="129">
        <f t="shared" si="0"/>
        <v>0</v>
      </c>
      <c r="N17" s="130">
        <f t="shared" si="1"/>
        <v>0</v>
      </c>
      <c r="O17" s="247"/>
      <c r="P17" s="249"/>
    </row>
    <row r="18" spans="2:16" x14ac:dyDescent="0.5">
      <c r="B18" s="246"/>
      <c r="C18" s="246"/>
      <c r="D18" s="156"/>
      <c r="E18" s="148" t="s">
        <v>186</v>
      </c>
      <c r="F18" s="149"/>
      <c r="G18" s="150"/>
      <c r="H18" s="150"/>
      <c r="I18" s="150"/>
      <c r="J18" s="150"/>
      <c r="K18" s="150"/>
      <c r="L18" s="151">
        <v>5</v>
      </c>
      <c r="M18" s="129">
        <f t="shared" si="0"/>
        <v>5</v>
      </c>
      <c r="N18" s="130">
        <f t="shared" si="1"/>
        <v>0.26315789473684209</v>
      </c>
      <c r="O18" s="247"/>
      <c r="P18" s="249"/>
    </row>
    <row r="19" spans="2:16" x14ac:dyDescent="0.5">
      <c r="B19" s="246"/>
      <c r="C19" s="246"/>
      <c r="D19" s="147"/>
      <c r="E19" s="148" t="s">
        <v>187</v>
      </c>
      <c r="F19" s="149"/>
      <c r="G19" s="150"/>
      <c r="H19" s="150"/>
      <c r="I19" s="150"/>
      <c r="J19" s="150"/>
      <c r="K19" s="150"/>
      <c r="L19" s="151">
        <v>5</v>
      </c>
      <c r="M19" s="129">
        <f t="shared" si="0"/>
        <v>5</v>
      </c>
      <c r="N19" s="130">
        <f t="shared" si="1"/>
        <v>0.26315789473684209</v>
      </c>
      <c r="O19" s="247"/>
      <c r="P19" s="249"/>
    </row>
    <row r="20" spans="2:16" x14ac:dyDescent="0.5">
      <c r="B20" s="246"/>
      <c r="C20" s="246"/>
      <c r="D20" s="147"/>
      <c r="E20" s="148" t="s">
        <v>188</v>
      </c>
      <c r="F20" s="149"/>
      <c r="G20" s="150"/>
      <c r="H20" s="150"/>
      <c r="I20" s="150"/>
      <c r="J20" s="150"/>
      <c r="K20" s="150"/>
      <c r="L20" s="151"/>
      <c r="M20" s="129">
        <f t="shared" si="0"/>
        <v>0</v>
      </c>
      <c r="N20" s="130">
        <f t="shared" si="1"/>
        <v>0</v>
      </c>
      <c r="O20" s="247"/>
      <c r="P20" s="249"/>
    </row>
    <row r="21" spans="2:16" x14ac:dyDescent="0.5">
      <c r="B21" s="246"/>
      <c r="C21" s="246"/>
      <c r="D21" s="147"/>
      <c r="E21" s="148" t="s">
        <v>189</v>
      </c>
      <c r="F21" s="149"/>
      <c r="G21" s="150"/>
      <c r="H21" s="150"/>
      <c r="I21" s="150"/>
      <c r="J21" s="150"/>
      <c r="K21" s="150"/>
      <c r="L21" s="151"/>
      <c r="M21" s="129">
        <f t="shared" si="0"/>
        <v>0</v>
      </c>
      <c r="N21" s="130">
        <f t="shared" si="1"/>
        <v>0</v>
      </c>
      <c r="O21" s="247"/>
      <c r="P21" s="249"/>
    </row>
    <row r="22" spans="2:16" x14ac:dyDescent="0.5">
      <c r="B22" s="246"/>
      <c r="C22" s="246"/>
      <c r="D22" s="147"/>
      <c r="E22" s="148" t="s">
        <v>190</v>
      </c>
      <c r="F22" s="149"/>
      <c r="G22" s="150"/>
      <c r="H22" s="150"/>
      <c r="I22" s="150"/>
      <c r="J22" s="150"/>
      <c r="K22" s="150"/>
      <c r="L22" s="151"/>
      <c r="M22" s="129">
        <f t="shared" si="0"/>
        <v>0</v>
      </c>
      <c r="N22" s="130">
        <f t="shared" si="1"/>
        <v>0</v>
      </c>
      <c r="O22" s="247"/>
      <c r="P22" s="249"/>
    </row>
    <row r="23" spans="2:16" x14ac:dyDescent="0.5">
      <c r="B23" s="246"/>
      <c r="C23" s="246"/>
      <c r="D23" s="147"/>
      <c r="E23" s="148" t="s">
        <v>191</v>
      </c>
      <c r="F23" s="149"/>
      <c r="G23" s="150"/>
      <c r="H23" s="150"/>
      <c r="I23" s="150"/>
      <c r="J23" s="150"/>
      <c r="K23" s="150"/>
      <c r="L23" s="151"/>
      <c r="M23" s="129">
        <f t="shared" si="0"/>
        <v>0</v>
      </c>
      <c r="N23" s="130">
        <f t="shared" si="1"/>
        <v>0</v>
      </c>
      <c r="O23" s="247"/>
      <c r="P23" s="249"/>
    </row>
    <row r="24" spans="2:16" x14ac:dyDescent="0.5">
      <c r="B24" s="246"/>
      <c r="C24" s="246"/>
      <c r="D24" s="147"/>
      <c r="E24" s="148" t="s">
        <v>192</v>
      </c>
      <c r="F24" s="149"/>
      <c r="G24" s="150"/>
      <c r="H24" s="150"/>
      <c r="I24" s="150"/>
      <c r="J24" s="150"/>
      <c r="K24" s="150"/>
      <c r="L24" s="151"/>
      <c r="M24" s="129">
        <f t="shared" si="0"/>
        <v>0</v>
      </c>
      <c r="N24" s="130">
        <f t="shared" si="1"/>
        <v>0</v>
      </c>
      <c r="O24" s="247"/>
      <c r="P24" s="249"/>
    </row>
    <row r="25" spans="2:16" x14ac:dyDescent="0.5">
      <c r="B25" s="246"/>
      <c r="C25" s="246"/>
      <c r="D25" s="147"/>
      <c r="E25" s="148" t="s">
        <v>193</v>
      </c>
      <c r="F25" s="149"/>
      <c r="G25" s="150"/>
      <c r="H25" s="150"/>
      <c r="I25" s="150"/>
      <c r="J25" s="150"/>
      <c r="K25" s="150"/>
      <c r="L25" s="151"/>
      <c r="M25" s="129">
        <f t="shared" si="0"/>
        <v>0</v>
      </c>
      <c r="N25" s="130">
        <f t="shared" si="1"/>
        <v>0</v>
      </c>
      <c r="O25" s="247"/>
      <c r="P25" s="249"/>
    </row>
    <row r="26" spans="2:16" x14ac:dyDescent="0.5">
      <c r="B26" s="246"/>
      <c r="C26" s="246"/>
      <c r="D26" s="147"/>
      <c r="E26" s="148" t="s">
        <v>194</v>
      </c>
      <c r="F26" s="149"/>
      <c r="G26" s="150"/>
      <c r="H26" s="150"/>
      <c r="I26" s="150"/>
      <c r="J26" s="150"/>
      <c r="K26" s="150"/>
      <c r="L26" s="151"/>
      <c r="M26" s="129">
        <f t="shared" si="0"/>
        <v>0</v>
      </c>
      <c r="N26" s="130">
        <f t="shared" si="1"/>
        <v>0</v>
      </c>
      <c r="O26" s="247"/>
      <c r="P26" s="249"/>
    </row>
    <row r="27" spans="2:16" ht="20.399999999999999" x14ac:dyDescent="0.5">
      <c r="B27" s="246"/>
      <c r="C27" s="246"/>
      <c r="D27" s="154" t="s">
        <v>195</v>
      </c>
      <c r="E27" s="155" t="s">
        <v>196</v>
      </c>
      <c r="F27" s="149"/>
      <c r="G27" s="150"/>
      <c r="H27" s="150"/>
      <c r="I27" s="150"/>
      <c r="J27" s="150"/>
      <c r="K27" s="150"/>
      <c r="L27" s="151"/>
      <c r="M27" s="129">
        <f t="shared" si="0"/>
        <v>0</v>
      </c>
      <c r="N27" s="130">
        <f t="shared" si="1"/>
        <v>0</v>
      </c>
      <c r="O27" s="247"/>
      <c r="P27" s="249"/>
    </row>
    <row r="28" spans="2:16" x14ac:dyDescent="0.5">
      <c r="B28" s="246"/>
      <c r="C28" s="246"/>
      <c r="D28" s="156"/>
      <c r="E28" s="148" t="s">
        <v>197</v>
      </c>
      <c r="F28" s="149"/>
      <c r="G28" s="150"/>
      <c r="H28" s="150"/>
      <c r="I28" s="150"/>
      <c r="J28" s="150"/>
      <c r="K28" s="150"/>
      <c r="L28" s="151"/>
      <c r="M28" s="129">
        <f t="shared" si="0"/>
        <v>0</v>
      </c>
      <c r="N28" s="130">
        <f t="shared" si="1"/>
        <v>0</v>
      </c>
      <c r="O28" s="247"/>
      <c r="P28" s="249"/>
    </row>
    <row r="29" spans="2:16" x14ac:dyDescent="0.5">
      <c r="B29" s="246"/>
      <c r="C29" s="246"/>
      <c r="D29" s="156"/>
      <c r="E29" s="148" t="s">
        <v>198</v>
      </c>
      <c r="F29" s="149"/>
      <c r="G29" s="150"/>
      <c r="H29" s="150"/>
      <c r="I29" s="150"/>
      <c r="J29" s="150"/>
      <c r="K29" s="150"/>
      <c r="L29" s="151"/>
      <c r="M29" s="129">
        <f t="shared" si="0"/>
        <v>0</v>
      </c>
      <c r="N29" s="130">
        <f t="shared" si="1"/>
        <v>0</v>
      </c>
      <c r="O29" s="247"/>
      <c r="P29" s="249"/>
    </row>
    <row r="30" spans="2:16" ht="20.399999999999999" x14ac:dyDescent="0.5">
      <c r="B30" s="246"/>
      <c r="C30" s="246"/>
      <c r="D30" s="154" t="s">
        <v>199</v>
      </c>
      <c r="E30" s="155" t="s">
        <v>200</v>
      </c>
      <c r="F30" s="149"/>
      <c r="G30" s="150"/>
      <c r="H30" s="150"/>
      <c r="I30" s="150"/>
      <c r="J30" s="150"/>
      <c r="K30" s="150"/>
      <c r="L30" s="151"/>
      <c r="M30" s="129">
        <f t="shared" si="0"/>
        <v>0</v>
      </c>
      <c r="N30" s="130">
        <f t="shared" si="1"/>
        <v>0</v>
      </c>
      <c r="O30" s="247"/>
      <c r="P30" s="249"/>
    </row>
    <row r="31" spans="2:16" ht="20.399999999999999" x14ac:dyDescent="0.5">
      <c r="B31" s="246"/>
      <c r="C31" s="246"/>
      <c r="D31" s="154" t="s">
        <v>201</v>
      </c>
      <c r="E31" s="155" t="s">
        <v>202</v>
      </c>
      <c r="F31" s="149"/>
      <c r="G31" s="150"/>
      <c r="H31" s="150"/>
      <c r="I31" s="150"/>
      <c r="J31" s="150"/>
      <c r="K31" s="150"/>
      <c r="L31" s="151"/>
      <c r="M31" s="129">
        <f t="shared" si="0"/>
        <v>0</v>
      </c>
      <c r="N31" s="130">
        <f t="shared" si="1"/>
        <v>0</v>
      </c>
      <c r="O31" s="247"/>
      <c r="P31" s="249"/>
    </row>
    <row r="32" spans="2:16" x14ac:dyDescent="0.5">
      <c r="B32" s="246"/>
      <c r="C32" s="246"/>
      <c r="D32" s="156"/>
      <c r="E32" s="148" t="s">
        <v>203</v>
      </c>
      <c r="F32" s="149"/>
      <c r="G32" s="150"/>
      <c r="H32" s="150"/>
      <c r="I32" s="150"/>
      <c r="J32" s="150"/>
      <c r="K32" s="150"/>
      <c r="L32" s="151"/>
      <c r="M32" s="129">
        <f t="shared" si="0"/>
        <v>0</v>
      </c>
      <c r="N32" s="130">
        <f t="shared" si="1"/>
        <v>0</v>
      </c>
      <c r="O32" s="247"/>
      <c r="P32" s="249"/>
    </row>
    <row r="33" spans="2:16" x14ac:dyDescent="0.5">
      <c r="B33" s="246"/>
      <c r="C33" s="246"/>
      <c r="D33" s="156"/>
      <c r="E33" s="148" t="s">
        <v>204</v>
      </c>
      <c r="F33" s="149"/>
      <c r="G33" s="150"/>
      <c r="H33" s="150"/>
      <c r="I33" s="150"/>
      <c r="J33" s="150"/>
      <c r="K33" s="150"/>
      <c r="L33" s="151"/>
      <c r="M33" s="129">
        <f t="shared" si="0"/>
        <v>0</v>
      </c>
      <c r="N33" s="130">
        <f t="shared" si="1"/>
        <v>0</v>
      </c>
      <c r="O33" s="247"/>
      <c r="P33" s="249"/>
    </row>
    <row r="34" spans="2:16" x14ac:dyDescent="0.5">
      <c r="B34" s="246"/>
      <c r="C34" s="246"/>
      <c r="D34" s="156"/>
      <c r="E34" s="148" t="s">
        <v>205</v>
      </c>
      <c r="F34" s="149"/>
      <c r="G34" s="150"/>
      <c r="H34" s="150"/>
      <c r="I34" s="150"/>
      <c r="J34" s="150"/>
      <c r="K34" s="150"/>
      <c r="L34" s="151"/>
      <c r="M34" s="129">
        <f t="shared" si="0"/>
        <v>0</v>
      </c>
      <c r="N34" s="130">
        <f t="shared" si="1"/>
        <v>0</v>
      </c>
      <c r="O34" s="247"/>
      <c r="P34" s="249"/>
    </row>
    <row r="35" spans="2:16" ht="20.399999999999999" x14ac:dyDescent="0.5">
      <c r="B35" s="246"/>
      <c r="C35" s="246"/>
      <c r="D35" s="154" t="s">
        <v>206</v>
      </c>
      <c r="E35" s="155" t="s">
        <v>207</v>
      </c>
      <c r="F35" s="149"/>
      <c r="G35" s="150"/>
      <c r="H35" s="150"/>
      <c r="I35" s="150"/>
      <c r="J35" s="150"/>
      <c r="K35" s="150"/>
      <c r="L35" s="151"/>
      <c r="M35" s="129">
        <f t="shared" si="0"/>
        <v>0</v>
      </c>
      <c r="N35" s="130">
        <f t="shared" si="1"/>
        <v>0</v>
      </c>
      <c r="O35" s="247"/>
      <c r="P35" s="249"/>
    </row>
    <row r="36" spans="2:16" x14ac:dyDescent="0.5">
      <c r="B36" s="246"/>
      <c r="C36" s="246"/>
      <c r="D36" s="156"/>
      <c r="E36" s="148" t="s">
        <v>208</v>
      </c>
      <c r="F36" s="149"/>
      <c r="G36" s="150"/>
      <c r="H36" s="150"/>
      <c r="I36" s="150"/>
      <c r="J36" s="150"/>
      <c r="K36" s="150"/>
      <c r="L36" s="151"/>
      <c r="M36" s="129">
        <f t="shared" si="0"/>
        <v>0</v>
      </c>
      <c r="N36" s="130">
        <f t="shared" si="1"/>
        <v>0</v>
      </c>
      <c r="O36" s="247"/>
      <c r="P36" s="249"/>
    </row>
    <row r="37" spans="2:16" x14ac:dyDescent="0.5">
      <c r="B37" s="246"/>
      <c r="C37" s="246"/>
      <c r="D37" s="156"/>
      <c r="E37" s="148" t="s">
        <v>209</v>
      </c>
      <c r="F37" s="149"/>
      <c r="G37" s="150"/>
      <c r="H37" s="150"/>
      <c r="I37" s="150"/>
      <c r="J37" s="150"/>
      <c r="K37" s="150"/>
      <c r="L37" s="151"/>
      <c r="M37" s="129">
        <f t="shared" si="0"/>
        <v>0</v>
      </c>
      <c r="N37" s="130">
        <f t="shared" si="1"/>
        <v>0</v>
      </c>
      <c r="O37" s="247"/>
      <c r="P37" s="249"/>
    </row>
    <row r="38" spans="2:16" x14ac:dyDescent="0.5">
      <c r="B38" s="246"/>
      <c r="C38" s="246"/>
      <c r="D38" s="156"/>
      <c r="E38" s="148" t="s">
        <v>210</v>
      </c>
      <c r="F38" s="149"/>
      <c r="G38" s="150"/>
      <c r="H38" s="150"/>
      <c r="I38" s="150"/>
      <c r="J38" s="150"/>
      <c r="K38" s="150"/>
      <c r="L38" s="151"/>
      <c r="M38" s="129">
        <f t="shared" si="0"/>
        <v>0</v>
      </c>
      <c r="N38" s="130">
        <f t="shared" si="1"/>
        <v>0</v>
      </c>
      <c r="O38" s="247"/>
      <c r="P38" s="249"/>
    </row>
    <row r="39" spans="2:16" x14ac:dyDescent="0.5">
      <c r="B39" s="246"/>
      <c r="C39" s="246"/>
      <c r="D39" s="156"/>
      <c r="E39" s="148" t="s">
        <v>211</v>
      </c>
      <c r="F39" s="149"/>
      <c r="G39" s="150"/>
      <c r="H39" s="150"/>
      <c r="I39" s="150"/>
      <c r="J39" s="150"/>
      <c r="K39" s="150"/>
      <c r="L39" s="151"/>
      <c r="M39" s="129">
        <f t="shared" si="0"/>
        <v>0</v>
      </c>
      <c r="N39" s="130">
        <f t="shared" si="1"/>
        <v>0</v>
      </c>
      <c r="O39" s="247"/>
      <c r="P39" s="249"/>
    </row>
    <row r="40" spans="2:16" x14ac:dyDescent="0.5">
      <c r="B40" s="240"/>
      <c r="C40" s="240"/>
      <c r="D40" s="157"/>
      <c r="E40" s="138" t="s">
        <v>212</v>
      </c>
      <c r="F40" s="139"/>
      <c r="G40" s="140"/>
      <c r="H40" s="140"/>
      <c r="I40" s="140"/>
      <c r="J40" s="140"/>
      <c r="K40" s="140"/>
      <c r="L40" s="141"/>
      <c r="M40" s="142">
        <f t="shared" si="0"/>
        <v>0</v>
      </c>
      <c r="N40" s="143">
        <f t="shared" si="1"/>
        <v>0</v>
      </c>
      <c r="O40" s="242"/>
      <c r="P40" s="244"/>
    </row>
    <row r="41" spans="2:16" ht="20.399999999999999" x14ac:dyDescent="0.5">
      <c r="B41" s="239" t="s">
        <v>130</v>
      </c>
      <c r="C41" s="251" t="s">
        <v>213</v>
      </c>
      <c r="D41" s="158" t="s">
        <v>214</v>
      </c>
      <c r="E41" s="145" t="s">
        <v>215</v>
      </c>
      <c r="F41" s="149"/>
      <c r="G41" s="150"/>
      <c r="H41" s="150"/>
      <c r="I41" s="150"/>
      <c r="J41" s="150"/>
      <c r="K41" s="150"/>
      <c r="L41" s="151"/>
      <c r="M41" s="123">
        <f t="shared" si="0"/>
        <v>0</v>
      </c>
      <c r="N41" s="124">
        <f t="shared" si="1"/>
        <v>0</v>
      </c>
      <c r="O41" s="241">
        <f>SUM(M41:M58)</f>
        <v>0</v>
      </c>
      <c r="P41" s="243">
        <f>O41/O91</f>
        <v>0</v>
      </c>
    </row>
    <row r="42" spans="2:16" ht="20.399999999999999" x14ac:dyDescent="0.5">
      <c r="B42" s="246"/>
      <c r="C42" s="252"/>
      <c r="D42" s="159" t="s">
        <v>216</v>
      </c>
      <c r="E42" s="155" t="s">
        <v>217</v>
      </c>
      <c r="F42" s="149"/>
      <c r="G42" s="150"/>
      <c r="H42" s="150"/>
      <c r="I42" s="150"/>
      <c r="J42" s="150"/>
      <c r="K42" s="150"/>
      <c r="L42" s="151"/>
      <c r="M42" s="129">
        <f t="shared" si="0"/>
        <v>0</v>
      </c>
      <c r="N42" s="160">
        <f t="shared" si="1"/>
        <v>0</v>
      </c>
      <c r="O42" s="247"/>
      <c r="P42" s="249"/>
    </row>
    <row r="43" spans="2:16" ht="20.399999999999999" x14ac:dyDescent="0.5">
      <c r="B43" s="246"/>
      <c r="C43" s="252"/>
      <c r="D43" s="159" t="s">
        <v>218</v>
      </c>
      <c r="E43" s="155" t="s">
        <v>219</v>
      </c>
      <c r="F43" s="149"/>
      <c r="G43" s="150"/>
      <c r="H43" s="150"/>
      <c r="I43" s="150"/>
      <c r="J43" s="150"/>
      <c r="K43" s="150"/>
      <c r="L43" s="151"/>
      <c r="M43" s="129">
        <f t="shared" si="0"/>
        <v>0</v>
      </c>
      <c r="N43" s="160">
        <f t="shared" si="1"/>
        <v>0</v>
      </c>
      <c r="O43" s="247"/>
      <c r="P43" s="249"/>
    </row>
    <row r="44" spans="2:16" x14ac:dyDescent="0.5">
      <c r="B44" s="246"/>
      <c r="C44" s="252"/>
      <c r="D44" s="161"/>
      <c r="E44" s="148" t="s">
        <v>220</v>
      </c>
      <c r="F44" s="149"/>
      <c r="G44" s="150"/>
      <c r="H44" s="150"/>
      <c r="I44" s="150"/>
      <c r="J44" s="150"/>
      <c r="K44" s="150"/>
      <c r="L44" s="151"/>
      <c r="M44" s="129">
        <f t="shared" si="0"/>
        <v>0</v>
      </c>
      <c r="N44" s="160">
        <f t="shared" si="1"/>
        <v>0</v>
      </c>
      <c r="O44" s="247"/>
      <c r="P44" s="249"/>
    </row>
    <row r="45" spans="2:16" x14ac:dyDescent="0.5">
      <c r="B45" s="246"/>
      <c r="C45" s="252"/>
      <c r="D45" s="161"/>
      <c r="E45" s="148" t="s">
        <v>221</v>
      </c>
      <c r="F45" s="149"/>
      <c r="G45" s="150"/>
      <c r="H45" s="150"/>
      <c r="I45" s="150"/>
      <c r="J45" s="150"/>
      <c r="K45" s="150"/>
      <c r="L45" s="151"/>
      <c r="M45" s="129">
        <f t="shared" si="0"/>
        <v>0</v>
      </c>
      <c r="N45" s="160">
        <f t="shared" si="1"/>
        <v>0</v>
      </c>
      <c r="O45" s="247"/>
      <c r="P45" s="249"/>
    </row>
    <row r="46" spans="2:16" x14ac:dyDescent="0.5">
      <c r="B46" s="246"/>
      <c r="C46" s="252"/>
      <c r="D46" s="161"/>
      <c r="E46" s="148" t="s">
        <v>222</v>
      </c>
      <c r="F46" s="149"/>
      <c r="G46" s="150"/>
      <c r="H46" s="150"/>
      <c r="I46" s="150"/>
      <c r="J46" s="150"/>
      <c r="K46" s="150"/>
      <c r="L46" s="151"/>
      <c r="M46" s="129">
        <f t="shared" si="0"/>
        <v>0</v>
      </c>
      <c r="N46" s="160">
        <f t="shared" si="1"/>
        <v>0</v>
      </c>
      <c r="O46" s="247"/>
      <c r="P46" s="249"/>
    </row>
    <row r="47" spans="2:16" x14ac:dyDescent="0.5">
      <c r="B47" s="246"/>
      <c r="C47" s="252"/>
      <c r="D47" s="161"/>
      <c r="E47" s="148" t="s">
        <v>223</v>
      </c>
      <c r="F47" s="149"/>
      <c r="G47" s="150"/>
      <c r="H47" s="150"/>
      <c r="I47" s="150"/>
      <c r="J47" s="150"/>
      <c r="K47" s="150"/>
      <c r="L47" s="151"/>
      <c r="M47" s="129">
        <f t="shared" si="0"/>
        <v>0</v>
      </c>
      <c r="N47" s="160">
        <f t="shared" si="1"/>
        <v>0</v>
      </c>
      <c r="O47" s="247"/>
      <c r="P47" s="249"/>
    </row>
    <row r="48" spans="2:16" ht="20.399999999999999" x14ac:dyDescent="0.5">
      <c r="B48" s="246"/>
      <c r="C48" s="252"/>
      <c r="D48" s="159" t="s">
        <v>224</v>
      </c>
      <c r="E48" s="155" t="s">
        <v>225</v>
      </c>
      <c r="F48" s="149"/>
      <c r="G48" s="150"/>
      <c r="H48" s="150"/>
      <c r="I48" s="150"/>
      <c r="J48" s="150"/>
      <c r="K48" s="150"/>
      <c r="L48" s="151"/>
      <c r="M48" s="129">
        <f t="shared" si="0"/>
        <v>0</v>
      </c>
      <c r="N48" s="160">
        <f t="shared" si="1"/>
        <v>0</v>
      </c>
      <c r="O48" s="247"/>
      <c r="P48" s="249"/>
    </row>
    <row r="49" spans="2:16" ht="20.399999999999999" x14ac:dyDescent="0.5">
      <c r="B49" s="246"/>
      <c r="C49" s="252"/>
      <c r="D49" s="159" t="s">
        <v>226</v>
      </c>
      <c r="E49" s="155" t="s">
        <v>227</v>
      </c>
      <c r="F49" s="149"/>
      <c r="G49" s="150"/>
      <c r="H49" s="150"/>
      <c r="I49" s="150"/>
      <c r="J49" s="150"/>
      <c r="K49" s="150"/>
      <c r="L49" s="151"/>
      <c r="M49" s="129">
        <f t="shared" si="0"/>
        <v>0</v>
      </c>
      <c r="N49" s="160">
        <f t="shared" si="1"/>
        <v>0</v>
      </c>
      <c r="O49" s="247"/>
      <c r="P49" s="249"/>
    </row>
    <row r="50" spans="2:16" x14ac:dyDescent="0.5">
      <c r="B50" s="246"/>
      <c r="C50" s="252"/>
      <c r="D50" s="161"/>
      <c r="E50" s="148" t="s">
        <v>228</v>
      </c>
      <c r="F50" s="149"/>
      <c r="G50" s="150"/>
      <c r="H50" s="150"/>
      <c r="I50" s="150"/>
      <c r="J50" s="150"/>
      <c r="K50" s="150"/>
      <c r="L50" s="151"/>
      <c r="M50" s="129">
        <f t="shared" si="0"/>
        <v>0</v>
      </c>
      <c r="N50" s="160">
        <f t="shared" si="1"/>
        <v>0</v>
      </c>
      <c r="O50" s="247"/>
      <c r="P50" s="249"/>
    </row>
    <row r="51" spans="2:16" x14ac:dyDescent="0.5">
      <c r="B51" s="246"/>
      <c r="C51" s="252"/>
      <c r="D51" s="161"/>
      <c r="E51" s="148" t="s">
        <v>229</v>
      </c>
      <c r="F51" s="149"/>
      <c r="G51" s="150"/>
      <c r="H51" s="150"/>
      <c r="I51" s="150"/>
      <c r="J51" s="150"/>
      <c r="K51" s="150"/>
      <c r="L51" s="151"/>
      <c r="M51" s="129">
        <f t="shared" si="0"/>
        <v>0</v>
      </c>
      <c r="N51" s="160">
        <f t="shared" si="1"/>
        <v>0</v>
      </c>
      <c r="O51" s="247"/>
      <c r="P51" s="249"/>
    </row>
    <row r="52" spans="2:16" ht="20.399999999999999" x14ac:dyDescent="0.5">
      <c r="B52" s="246"/>
      <c r="C52" s="252"/>
      <c r="D52" s="159" t="s">
        <v>230</v>
      </c>
      <c r="E52" s="155" t="s">
        <v>231</v>
      </c>
      <c r="F52" s="149"/>
      <c r="G52" s="150"/>
      <c r="H52" s="150"/>
      <c r="I52" s="150"/>
      <c r="J52" s="150"/>
      <c r="K52" s="150"/>
      <c r="L52" s="151"/>
      <c r="M52" s="129">
        <f t="shared" si="0"/>
        <v>0</v>
      </c>
      <c r="N52" s="160">
        <f t="shared" si="1"/>
        <v>0</v>
      </c>
      <c r="O52" s="247"/>
      <c r="P52" s="249"/>
    </row>
    <row r="53" spans="2:16" x14ac:dyDescent="0.5">
      <c r="B53" s="246"/>
      <c r="C53" s="252"/>
      <c r="D53" s="161"/>
      <c r="E53" s="148" t="s">
        <v>232</v>
      </c>
      <c r="F53" s="149"/>
      <c r="G53" s="150"/>
      <c r="H53" s="150"/>
      <c r="I53" s="150"/>
      <c r="J53" s="150"/>
      <c r="K53" s="150"/>
      <c r="L53" s="151"/>
      <c r="M53" s="129">
        <f t="shared" si="0"/>
        <v>0</v>
      </c>
      <c r="N53" s="160">
        <f t="shared" si="1"/>
        <v>0</v>
      </c>
      <c r="O53" s="247"/>
      <c r="P53" s="249"/>
    </row>
    <row r="54" spans="2:16" x14ac:dyDescent="0.5">
      <c r="B54" s="246"/>
      <c r="C54" s="252"/>
      <c r="D54" s="161"/>
      <c r="E54" s="148" t="s">
        <v>233</v>
      </c>
      <c r="F54" s="149"/>
      <c r="G54" s="150"/>
      <c r="H54" s="150"/>
      <c r="I54" s="150"/>
      <c r="J54" s="150"/>
      <c r="K54" s="150"/>
      <c r="L54" s="151"/>
      <c r="M54" s="129">
        <f t="shared" si="0"/>
        <v>0</v>
      </c>
      <c r="N54" s="160">
        <f t="shared" si="1"/>
        <v>0</v>
      </c>
      <c r="O54" s="247"/>
      <c r="P54" s="249"/>
    </row>
    <row r="55" spans="2:16" ht="20.399999999999999" x14ac:dyDescent="0.5">
      <c r="B55" s="246"/>
      <c r="C55" s="252"/>
      <c r="D55" s="159" t="s">
        <v>234</v>
      </c>
      <c r="E55" s="155" t="s">
        <v>235</v>
      </c>
      <c r="F55" s="149"/>
      <c r="G55" s="150"/>
      <c r="H55" s="150"/>
      <c r="I55" s="150"/>
      <c r="J55" s="150"/>
      <c r="K55" s="150"/>
      <c r="L55" s="151"/>
      <c r="M55" s="129">
        <f t="shared" si="0"/>
        <v>0</v>
      </c>
      <c r="N55" s="160">
        <f t="shared" si="1"/>
        <v>0</v>
      </c>
      <c r="O55" s="247"/>
      <c r="P55" s="249"/>
    </row>
    <row r="56" spans="2:16" x14ac:dyDescent="0.5">
      <c r="B56" s="246"/>
      <c r="C56" s="252"/>
      <c r="D56" s="161"/>
      <c r="E56" s="148" t="s">
        <v>236</v>
      </c>
      <c r="F56" s="149"/>
      <c r="G56" s="150"/>
      <c r="H56" s="150"/>
      <c r="I56" s="150"/>
      <c r="J56" s="150"/>
      <c r="K56" s="150"/>
      <c r="L56" s="151"/>
      <c r="M56" s="129">
        <f t="shared" si="0"/>
        <v>0</v>
      </c>
      <c r="N56" s="160">
        <f t="shared" si="1"/>
        <v>0</v>
      </c>
      <c r="O56" s="247"/>
      <c r="P56" s="249"/>
    </row>
    <row r="57" spans="2:16" x14ac:dyDescent="0.5">
      <c r="B57" s="246"/>
      <c r="C57" s="252"/>
      <c r="D57" s="161"/>
      <c r="E57" s="148" t="s">
        <v>237</v>
      </c>
      <c r="F57" s="149"/>
      <c r="G57" s="150"/>
      <c r="H57" s="150"/>
      <c r="I57" s="150"/>
      <c r="J57" s="150"/>
      <c r="K57" s="150"/>
      <c r="L57" s="151"/>
      <c r="M57" s="129">
        <f t="shared" si="0"/>
        <v>0</v>
      </c>
      <c r="N57" s="130">
        <f t="shared" si="1"/>
        <v>0</v>
      </c>
      <c r="O57" s="248"/>
      <c r="P57" s="250"/>
    </row>
    <row r="58" spans="2:16" x14ac:dyDescent="0.5">
      <c r="B58" s="246"/>
      <c r="C58" s="252"/>
      <c r="D58" s="161"/>
      <c r="E58" s="138" t="s">
        <v>238</v>
      </c>
      <c r="F58" s="162"/>
      <c r="G58" s="163"/>
      <c r="H58" s="163"/>
      <c r="I58" s="163"/>
      <c r="J58" s="163"/>
      <c r="K58" s="163"/>
      <c r="L58" s="164"/>
      <c r="M58" s="142">
        <f t="shared" si="0"/>
        <v>0</v>
      </c>
      <c r="N58" s="143">
        <f t="shared" si="1"/>
        <v>0</v>
      </c>
      <c r="O58" s="242"/>
      <c r="P58" s="244"/>
    </row>
    <row r="59" spans="2:16" ht="20.399999999999999" x14ac:dyDescent="0.5">
      <c r="B59" s="251" t="s">
        <v>159</v>
      </c>
      <c r="C59" s="251" t="s">
        <v>239</v>
      </c>
      <c r="D59" s="144" t="s">
        <v>240</v>
      </c>
      <c r="E59" s="145" t="s">
        <v>241</v>
      </c>
      <c r="F59" s="146"/>
      <c r="G59" s="121"/>
      <c r="H59" s="121"/>
      <c r="I59" s="121"/>
      <c r="J59" s="121"/>
      <c r="K59" s="121"/>
      <c r="L59" s="122"/>
      <c r="M59" s="123">
        <f t="shared" si="0"/>
        <v>0</v>
      </c>
      <c r="N59" s="124">
        <f t="shared" si="1"/>
        <v>0</v>
      </c>
      <c r="O59" s="241">
        <f>SUM(M59:M68)</f>
        <v>4</v>
      </c>
      <c r="P59" s="243">
        <f>O59/O91</f>
        <v>0.21052631578947367</v>
      </c>
    </row>
    <row r="60" spans="2:16" ht="20.399999999999999" x14ac:dyDescent="0.5">
      <c r="B60" s="252"/>
      <c r="C60" s="252"/>
      <c r="D60" s="165" t="s">
        <v>242</v>
      </c>
      <c r="E60" s="155" t="s">
        <v>243</v>
      </c>
      <c r="F60" s="149"/>
      <c r="G60" s="150"/>
      <c r="H60" s="150"/>
      <c r="I60" s="150"/>
      <c r="J60" s="150"/>
      <c r="K60" s="150"/>
      <c r="L60" s="151"/>
      <c r="M60" s="129">
        <f t="shared" si="0"/>
        <v>0</v>
      </c>
      <c r="N60" s="130">
        <f t="shared" si="1"/>
        <v>0</v>
      </c>
      <c r="O60" s="248"/>
      <c r="P60" s="250"/>
    </row>
    <row r="61" spans="2:16" x14ac:dyDescent="0.5">
      <c r="B61" s="252"/>
      <c r="C61" s="252"/>
      <c r="D61" s="161"/>
      <c r="E61" s="148" t="s">
        <v>244</v>
      </c>
      <c r="F61" s="149"/>
      <c r="G61" s="150"/>
      <c r="H61" s="150"/>
      <c r="I61" s="150"/>
      <c r="J61" s="150"/>
      <c r="K61" s="150"/>
      <c r="L61" s="151"/>
      <c r="M61" s="129">
        <f t="shared" si="0"/>
        <v>0</v>
      </c>
      <c r="N61" s="130">
        <f t="shared" si="1"/>
        <v>0</v>
      </c>
      <c r="O61" s="248"/>
      <c r="P61" s="250"/>
    </row>
    <row r="62" spans="2:16" x14ac:dyDescent="0.5">
      <c r="B62" s="252"/>
      <c r="C62" s="252"/>
      <c r="D62" s="161"/>
      <c r="E62" s="148" t="s">
        <v>245</v>
      </c>
      <c r="F62" s="149"/>
      <c r="G62" s="150"/>
      <c r="H62" s="150"/>
      <c r="I62" s="150"/>
      <c r="J62" s="150"/>
      <c r="K62" s="150"/>
      <c r="L62" s="151"/>
      <c r="M62" s="129">
        <f t="shared" si="0"/>
        <v>0</v>
      </c>
      <c r="N62" s="130">
        <f t="shared" si="1"/>
        <v>0</v>
      </c>
      <c r="O62" s="248"/>
      <c r="P62" s="250"/>
    </row>
    <row r="63" spans="2:16" ht="20.399999999999999" x14ac:dyDescent="0.5">
      <c r="B63" s="252"/>
      <c r="C63" s="252"/>
      <c r="D63" s="165" t="s">
        <v>246</v>
      </c>
      <c r="E63" s="155" t="s">
        <v>247</v>
      </c>
      <c r="F63" s="149"/>
      <c r="G63" s="150"/>
      <c r="H63" s="150"/>
      <c r="I63" s="150"/>
      <c r="J63" s="150"/>
      <c r="K63" s="150"/>
      <c r="L63" s="151"/>
      <c r="M63" s="129">
        <f t="shared" si="0"/>
        <v>0</v>
      </c>
      <c r="N63" s="130">
        <f t="shared" si="1"/>
        <v>0</v>
      </c>
      <c r="O63" s="248"/>
      <c r="P63" s="250"/>
    </row>
    <row r="64" spans="2:16" x14ac:dyDescent="0.5">
      <c r="B64" s="252"/>
      <c r="C64" s="252"/>
      <c r="D64" s="161"/>
      <c r="E64" s="148" t="s">
        <v>248</v>
      </c>
      <c r="F64" s="149"/>
      <c r="G64" s="150"/>
      <c r="H64" s="150"/>
      <c r="I64" s="150"/>
      <c r="J64" s="150"/>
      <c r="K64" s="150"/>
      <c r="L64" s="151"/>
      <c r="M64" s="129">
        <f t="shared" si="0"/>
        <v>0</v>
      </c>
      <c r="N64" s="130">
        <f t="shared" si="1"/>
        <v>0</v>
      </c>
      <c r="O64" s="248"/>
      <c r="P64" s="250"/>
    </row>
    <row r="65" spans="2:16" x14ac:dyDescent="0.5">
      <c r="B65" s="252"/>
      <c r="C65" s="252"/>
      <c r="D65" s="161"/>
      <c r="E65" s="148" t="s">
        <v>249</v>
      </c>
      <c r="F65" s="149"/>
      <c r="G65" s="150"/>
      <c r="H65" s="150"/>
      <c r="I65" s="150"/>
      <c r="J65" s="150"/>
      <c r="K65" s="150"/>
      <c r="L65" s="151">
        <v>4</v>
      </c>
      <c r="M65" s="129">
        <f t="shared" si="0"/>
        <v>4</v>
      </c>
      <c r="N65" s="130">
        <f t="shared" si="1"/>
        <v>0.21052631578947367</v>
      </c>
      <c r="O65" s="248"/>
      <c r="P65" s="250"/>
    </row>
    <row r="66" spans="2:16" ht="20.399999999999999" x14ac:dyDescent="0.5">
      <c r="B66" s="252"/>
      <c r="C66" s="252"/>
      <c r="D66" s="165" t="s">
        <v>250</v>
      </c>
      <c r="E66" s="155" t="s">
        <v>251</v>
      </c>
      <c r="F66" s="149"/>
      <c r="G66" s="150"/>
      <c r="H66" s="150"/>
      <c r="I66" s="150"/>
      <c r="J66" s="150"/>
      <c r="K66" s="150"/>
      <c r="L66" s="151"/>
      <c r="M66" s="129">
        <f t="shared" si="0"/>
        <v>0</v>
      </c>
      <c r="N66" s="130">
        <f t="shared" si="1"/>
        <v>0</v>
      </c>
      <c r="O66" s="248"/>
      <c r="P66" s="250"/>
    </row>
    <row r="67" spans="2:16" ht="20.399999999999999" x14ac:dyDescent="0.5">
      <c r="B67" s="252"/>
      <c r="C67" s="252"/>
      <c r="D67" s="165" t="s">
        <v>252</v>
      </c>
      <c r="E67" s="155" t="s">
        <v>253</v>
      </c>
      <c r="F67" s="149"/>
      <c r="G67" s="150"/>
      <c r="H67" s="150"/>
      <c r="I67" s="150"/>
      <c r="J67" s="150"/>
      <c r="K67" s="150"/>
      <c r="L67" s="151"/>
      <c r="M67" s="129">
        <f t="shared" si="0"/>
        <v>0</v>
      </c>
      <c r="N67" s="130">
        <f t="shared" si="1"/>
        <v>0</v>
      </c>
      <c r="O67" s="248"/>
      <c r="P67" s="250"/>
    </row>
    <row r="68" spans="2:16" ht="20.399999999999999" x14ac:dyDescent="0.5">
      <c r="B68" s="253"/>
      <c r="C68" s="253"/>
      <c r="D68" s="166" t="s">
        <v>254</v>
      </c>
      <c r="E68" s="167" t="s">
        <v>255</v>
      </c>
      <c r="F68" s="168"/>
      <c r="G68" s="169"/>
      <c r="H68" s="169"/>
      <c r="I68" s="169"/>
      <c r="J68" s="169"/>
      <c r="K68" s="169"/>
      <c r="L68" s="170"/>
      <c r="M68" s="142">
        <f t="shared" si="0"/>
        <v>0</v>
      </c>
      <c r="N68" s="143">
        <f t="shared" si="1"/>
        <v>0</v>
      </c>
      <c r="O68" s="242"/>
      <c r="P68" s="244"/>
    </row>
    <row r="69" spans="2:16" ht="20.399999999999999" x14ac:dyDescent="0.5">
      <c r="B69" s="239" t="s">
        <v>160</v>
      </c>
      <c r="C69" s="239" t="s">
        <v>256</v>
      </c>
      <c r="D69" s="171" t="s">
        <v>257</v>
      </c>
      <c r="E69" s="145" t="s">
        <v>258</v>
      </c>
      <c r="F69" s="146"/>
      <c r="G69" s="121"/>
      <c r="H69" s="121"/>
      <c r="I69" s="121"/>
      <c r="J69" s="121"/>
      <c r="K69" s="121"/>
      <c r="L69" s="122"/>
      <c r="M69" s="123">
        <f t="shared" si="0"/>
        <v>0</v>
      </c>
      <c r="N69" s="124">
        <f t="shared" si="1"/>
        <v>0</v>
      </c>
      <c r="O69" s="241">
        <f>SUM(M69:M73)</f>
        <v>0</v>
      </c>
      <c r="P69" s="243">
        <f>O69/O91</f>
        <v>0</v>
      </c>
    </row>
    <row r="70" spans="2:16" ht="20.399999999999999" x14ac:dyDescent="0.5">
      <c r="B70" s="246"/>
      <c r="C70" s="246"/>
      <c r="D70" s="172" t="s">
        <v>259</v>
      </c>
      <c r="E70" s="155" t="s">
        <v>260</v>
      </c>
      <c r="F70" s="149"/>
      <c r="G70" s="150"/>
      <c r="H70" s="150"/>
      <c r="I70" s="150"/>
      <c r="J70" s="150"/>
      <c r="K70" s="150"/>
      <c r="L70" s="151"/>
      <c r="M70" s="129">
        <f t="shared" ref="M70:M90" si="2">SUM(F70:L70)</f>
        <v>0</v>
      </c>
      <c r="N70" s="130">
        <f t="shared" ref="N70:N90" si="3">M70/$M$91</f>
        <v>0</v>
      </c>
      <c r="O70" s="247"/>
      <c r="P70" s="249"/>
    </row>
    <row r="71" spans="2:16" ht="20.399999999999999" x14ac:dyDescent="0.5">
      <c r="B71" s="246"/>
      <c r="C71" s="246"/>
      <c r="D71" s="172" t="s">
        <v>261</v>
      </c>
      <c r="E71" s="155" t="s">
        <v>262</v>
      </c>
      <c r="F71" s="149"/>
      <c r="G71" s="150"/>
      <c r="H71" s="150"/>
      <c r="I71" s="150"/>
      <c r="J71" s="150"/>
      <c r="K71" s="150"/>
      <c r="L71" s="151"/>
      <c r="M71" s="129">
        <f t="shared" si="2"/>
        <v>0</v>
      </c>
      <c r="N71" s="130">
        <f t="shared" si="3"/>
        <v>0</v>
      </c>
      <c r="O71" s="248"/>
      <c r="P71" s="250"/>
    </row>
    <row r="72" spans="2:16" ht="20.399999999999999" x14ac:dyDescent="0.5">
      <c r="B72" s="246"/>
      <c r="C72" s="246"/>
      <c r="D72" s="172" t="s">
        <v>263</v>
      </c>
      <c r="E72" s="173" t="s">
        <v>264</v>
      </c>
      <c r="F72" s="149"/>
      <c r="G72" s="150"/>
      <c r="H72" s="150"/>
      <c r="I72" s="150"/>
      <c r="J72" s="150"/>
      <c r="K72" s="150"/>
      <c r="L72" s="151"/>
      <c r="M72" s="129">
        <f t="shared" si="2"/>
        <v>0</v>
      </c>
      <c r="N72" s="130">
        <f t="shared" si="3"/>
        <v>0</v>
      </c>
      <c r="O72" s="248"/>
      <c r="P72" s="250"/>
    </row>
    <row r="73" spans="2:16" ht="20.399999999999999" x14ac:dyDescent="0.5">
      <c r="B73" s="240"/>
      <c r="C73" s="240"/>
      <c r="D73" s="174" t="s">
        <v>265</v>
      </c>
      <c r="E73" s="167" t="s">
        <v>266</v>
      </c>
      <c r="F73" s="139"/>
      <c r="G73" s="140"/>
      <c r="H73" s="140"/>
      <c r="I73" s="140"/>
      <c r="J73" s="140"/>
      <c r="K73" s="140"/>
      <c r="L73" s="141"/>
      <c r="M73" s="142">
        <f t="shared" si="2"/>
        <v>0</v>
      </c>
      <c r="N73" s="143">
        <f t="shared" si="3"/>
        <v>0</v>
      </c>
      <c r="O73" s="242"/>
      <c r="P73" s="244"/>
    </row>
    <row r="74" spans="2:16" ht="20.399999999999999" x14ac:dyDescent="0.5">
      <c r="B74" s="239" t="s">
        <v>267</v>
      </c>
      <c r="C74" s="239" t="s">
        <v>268</v>
      </c>
      <c r="D74" s="171" t="s">
        <v>269</v>
      </c>
      <c r="E74" s="145" t="s">
        <v>270</v>
      </c>
      <c r="F74" s="146"/>
      <c r="G74" s="121"/>
      <c r="H74" s="121"/>
      <c r="I74" s="121"/>
      <c r="J74" s="121"/>
      <c r="K74" s="121"/>
      <c r="L74" s="175"/>
      <c r="M74" s="176">
        <f t="shared" si="2"/>
        <v>0</v>
      </c>
      <c r="N74" s="124">
        <f t="shared" si="3"/>
        <v>0</v>
      </c>
      <c r="O74" s="241">
        <f>SUM(M74:M86)</f>
        <v>0</v>
      </c>
      <c r="P74" s="243">
        <f>O74/O91</f>
        <v>0</v>
      </c>
    </row>
    <row r="75" spans="2:16" x14ac:dyDescent="0.5">
      <c r="B75" s="246"/>
      <c r="C75" s="246"/>
      <c r="D75" s="177"/>
      <c r="E75" s="178" t="s">
        <v>271</v>
      </c>
      <c r="F75" s="149"/>
      <c r="G75" s="150"/>
      <c r="H75" s="150"/>
      <c r="I75" s="150"/>
      <c r="J75" s="150"/>
      <c r="K75" s="150"/>
      <c r="L75" s="179"/>
      <c r="M75" s="129">
        <f t="shared" si="2"/>
        <v>0</v>
      </c>
      <c r="N75" s="130">
        <f t="shared" si="3"/>
        <v>0</v>
      </c>
      <c r="O75" s="247"/>
      <c r="P75" s="249"/>
    </row>
    <row r="76" spans="2:16" x14ac:dyDescent="0.5">
      <c r="B76" s="246"/>
      <c r="C76" s="246"/>
      <c r="D76" s="177"/>
      <c r="E76" s="178" t="s">
        <v>272</v>
      </c>
      <c r="F76" s="149"/>
      <c r="G76" s="150"/>
      <c r="H76" s="150"/>
      <c r="I76" s="150"/>
      <c r="J76" s="150"/>
      <c r="K76" s="150"/>
      <c r="L76" s="179"/>
      <c r="M76" s="129">
        <f t="shared" si="2"/>
        <v>0</v>
      </c>
      <c r="N76" s="130">
        <f t="shared" si="3"/>
        <v>0</v>
      </c>
      <c r="O76" s="247"/>
      <c r="P76" s="249"/>
    </row>
    <row r="77" spans="2:16" ht="20.399999999999999" x14ac:dyDescent="0.5">
      <c r="B77" s="246"/>
      <c r="C77" s="246"/>
      <c r="D77" s="172" t="s">
        <v>273</v>
      </c>
      <c r="E77" s="155" t="s">
        <v>274</v>
      </c>
      <c r="F77" s="149"/>
      <c r="G77" s="150"/>
      <c r="H77" s="150"/>
      <c r="I77" s="150"/>
      <c r="J77" s="150"/>
      <c r="K77" s="150"/>
      <c r="L77" s="179"/>
      <c r="M77" s="129">
        <f t="shared" si="2"/>
        <v>0</v>
      </c>
      <c r="N77" s="130">
        <f t="shared" si="3"/>
        <v>0</v>
      </c>
      <c r="O77" s="247"/>
      <c r="P77" s="249"/>
    </row>
    <row r="78" spans="2:16" x14ac:dyDescent="0.5">
      <c r="B78" s="246"/>
      <c r="C78" s="246"/>
      <c r="D78" s="180"/>
      <c r="E78" s="132" t="s">
        <v>275</v>
      </c>
      <c r="F78" s="149"/>
      <c r="G78" s="150"/>
      <c r="H78" s="150"/>
      <c r="I78" s="150"/>
      <c r="J78" s="150"/>
      <c r="K78" s="150"/>
      <c r="L78" s="179"/>
      <c r="M78" s="129">
        <f t="shared" si="2"/>
        <v>0</v>
      </c>
      <c r="N78" s="130">
        <f t="shared" si="3"/>
        <v>0</v>
      </c>
      <c r="O78" s="247"/>
      <c r="P78" s="249"/>
    </row>
    <row r="79" spans="2:16" x14ac:dyDescent="0.5">
      <c r="B79" s="246"/>
      <c r="C79" s="246"/>
      <c r="D79" s="180"/>
      <c r="E79" s="132" t="s">
        <v>276</v>
      </c>
      <c r="F79" s="149"/>
      <c r="G79" s="150"/>
      <c r="H79" s="150"/>
      <c r="I79" s="150"/>
      <c r="J79" s="150"/>
      <c r="K79" s="150"/>
      <c r="L79" s="179"/>
      <c r="M79" s="129">
        <f t="shared" si="2"/>
        <v>0</v>
      </c>
      <c r="N79" s="130">
        <f t="shared" si="3"/>
        <v>0</v>
      </c>
      <c r="O79" s="247"/>
      <c r="P79" s="249"/>
    </row>
    <row r="80" spans="2:16" ht="20.399999999999999" x14ac:dyDescent="0.5">
      <c r="B80" s="246"/>
      <c r="C80" s="246"/>
      <c r="D80" s="172" t="s">
        <v>277</v>
      </c>
      <c r="E80" s="155" t="s">
        <v>278</v>
      </c>
      <c r="F80" s="149"/>
      <c r="G80" s="150"/>
      <c r="H80" s="150"/>
      <c r="I80" s="150"/>
      <c r="J80" s="150"/>
      <c r="K80" s="150"/>
      <c r="L80" s="179"/>
      <c r="M80" s="129">
        <f t="shared" si="2"/>
        <v>0</v>
      </c>
      <c r="N80" s="130">
        <f t="shared" si="3"/>
        <v>0</v>
      </c>
      <c r="O80" s="247"/>
      <c r="P80" s="249"/>
    </row>
    <row r="81" spans="2:16" x14ac:dyDescent="0.5">
      <c r="B81" s="246"/>
      <c r="C81" s="246"/>
      <c r="D81" s="181"/>
      <c r="E81" s="182" t="s">
        <v>279</v>
      </c>
      <c r="F81" s="149"/>
      <c r="G81" s="150"/>
      <c r="H81" s="150"/>
      <c r="I81" s="150"/>
      <c r="J81" s="150"/>
      <c r="K81" s="150"/>
      <c r="L81" s="179"/>
      <c r="M81" s="129">
        <f t="shared" si="2"/>
        <v>0</v>
      </c>
      <c r="N81" s="130">
        <f t="shared" si="3"/>
        <v>0</v>
      </c>
      <c r="O81" s="247"/>
      <c r="P81" s="249"/>
    </row>
    <row r="82" spans="2:16" x14ac:dyDescent="0.5">
      <c r="B82" s="246"/>
      <c r="C82" s="246"/>
      <c r="D82" s="181"/>
      <c r="E82" s="182" t="s">
        <v>280</v>
      </c>
      <c r="F82" s="149"/>
      <c r="G82" s="150"/>
      <c r="H82" s="150"/>
      <c r="I82" s="150"/>
      <c r="J82" s="150"/>
      <c r="K82" s="150"/>
      <c r="L82" s="179"/>
      <c r="M82" s="129">
        <f t="shared" si="2"/>
        <v>0</v>
      </c>
      <c r="N82" s="130">
        <f t="shared" si="3"/>
        <v>0</v>
      </c>
      <c r="O82" s="247"/>
      <c r="P82" s="249"/>
    </row>
    <row r="83" spans="2:16" x14ac:dyDescent="0.5">
      <c r="B83" s="246"/>
      <c r="C83" s="246"/>
      <c r="D83" s="181"/>
      <c r="E83" s="182" t="s">
        <v>281</v>
      </c>
      <c r="F83" s="149"/>
      <c r="G83" s="150"/>
      <c r="H83" s="150"/>
      <c r="I83" s="150"/>
      <c r="J83" s="150"/>
      <c r="K83" s="150"/>
      <c r="L83" s="179"/>
      <c r="M83" s="129">
        <f t="shared" si="2"/>
        <v>0</v>
      </c>
      <c r="N83" s="130">
        <f t="shared" si="3"/>
        <v>0</v>
      </c>
      <c r="O83" s="247"/>
      <c r="P83" s="249"/>
    </row>
    <row r="84" spans="2:16" ht="20.399999999999999" x14ac:dyDescent="0.5">
      <c r="B84" s="246"/>
      <c r="C84" s="246"/>
      <c r="D84" s="172" t="s">
        <v>282</v>
      </c>
      <c r="E84" s="173" t="s">
        <v>283</v>
      </c>
      <c r="F84" s="149"/>
      <c r="G84" s="150"/>
      <c r="H84" s="150"/>
      <c r="I84" s="150"/>
      <c r="J84" s="150"/>
      <c r="K84" s="150"/>
      <c r="L84" s="179"/>
      <c r="M84" s="129">
        <f t="shared" si="2"/>
        <v>0</v>
      </c>
      <c r="N84" s="130">
        <f t="shared" si="3"/>
        <v>0</v>
      </c>
      <c r="O84" s="247"/>
      <c r="P84" s="249"/>
    </row>
    <row r="85" spans="2:16" x14ac:dyDescent="0.5">
      <c r="B85" s="246"/>
      <c r="C85" s="246"/>
      <c r="D85" s="181"/>
      <c r="E85" s="182" t="s">
        <v>284</v>
      </c>
      <c r="F85" s="149"/>
      <c r="G85" s="150"/>
      <c r="H85" s="150"/>
      <c r="I85" s="150"/>
      <c r="J85" s="150"/>
      <c r="K85" s="150"/>
      <c r="L85" s="179"/>
      <c r="M85" s="129">
        <f t="shared" si="2"/>
        <v>0</v>
      </c>
      <c r="N85" s="130">
        <f t="shared" si="3"/>
        <v>0</v>
      </c>
      <c r="O85" s="247"/>
      <c r="P85" s="249"/>
    </row>
    <row r="86" spans="2:16" x14ac:dyDescent="0.5">
      <c r="B86" s="240"/>
      <c r="C86" s="240"/>
      <c r="D86" s="183"/>
      <c r="E86" s="184" t="s">
        <v>285</v>
      </c>
      <c r="F86" s="168"/>
      <c r="G86" s="169"/>
      <c r="H86" s="169"/>
      <c r="I86" s="169"/>
      <c r="J86" s="169"/>
      <c r="K86" s="169"/>
      <c r="L86" s="170"/>
      <c r="M86" s="142">
        <f t="shared" si="2"/>
        <v>0</v>
      </c>
      <c r="N86" s="143">
        <f t="shared" si="3"/>
        <v>0</v>
      </c>
      <c r="O86" s="242"/>
      <c r="P86" s="244"/>
    </row>
    <row r="87" spans="2:16" ht="20.399999999999999" x14ac:dyDescent="0.5">
      <c r="B87" s="239" t="s">
        <v>286</v>
      </c>
      <c r="C87" s="239" t="s">
        <v>287</v>
      </c>
      <c r="D87" s="185" t="s">
        <v>288</v>
      </c>
      <c r="E87" s="145" t="s">
        <v>289</v>
      </c>
      <c r="F87" s="146"/>
      <c r="G87" s="121"/>
      <c r="H87" s="121"/>
      <c r="I87" s="121"/>
      <c r="J87" s="121"/>
      <c r="K87" s="121"/>
      <c r="L87" s="122"/>
      <c r="M87" s="176">
        <f t="shared" si="2"/>
        <v>0</v>
      </c>
      <c r="N87" s="124">
        <f t="shared" si="3"/>
        <v>0</v>
      </c>
      <c r="O87" s="241">
        <f>SUM(M87:M88)</f>
        <v>0</v>
      </c>
      <c r="P87" s="243">
        <f>O87/O91</f>
        <v>0</v>
      </c>
    </row>
    <row r="88" spans="2:16" ht="20.399999999999999" x14ac:dyDescent="0.5">
      <c r="B88" s="240"/>
      <c r="C88" s="240"/>
      <c r="D88" s="174" t="s">
        <v>290</v>
      </c>
      <c r="E88" s="167" t="s">
        <v>291</v>
      </c>
      <c r="F88" s="139"/>
      <c r="G88" s="140"/>
      <c r="H88" s="140"/>
      <c r="I88" s="140"/>
      <c r="J88" s="140"/>
      <c r="K88" s="140"/>
      <c r="L88" s="141"/>
      <c r="M88" s="142">
        <f t="shared" si="2"/>
        <v>0</v>
      </c>
      <c r="N88" s="143">
        <f t="shared" si="3"/>
        <v>0</v>
      </c>
      <c r="O88" s="242"/>
      <c r="P88" s="244"/>
    </row>
    <row r="89" spans="2:16" ht="20.399999999999999" x14ac:dyDescent="0.5">
      <c r="B89" s="137" t="s">
        <v>292</v>
      </c>
      <c r="C89" s="137" t="s">
        <v>293</v>
      </c>
      <c r="D89" s="186" t="s">
        <v>294</v>
      </c>
      <c r="E89" s="187" t="s">
        <v>295</v>
      </c>
      <c r="F89" s="168"/>
      <c r="G89" s="169"/>
      <c r="H89" s="169"/>
      <c r="I89" s="169"/>
      <c r="J89" s="169"/>
      <c r="K89" s="169"/>
      <c r="L89" s="170"/>
      <c r="M89" s="176">
        <f t="shared" si="2"/>
        <v>0</v>
      </c>
      <c r="N89" s="124">
        <f t="shared" si="3"/>
        <v>0</v>
      </c>
      <c r="O89" s="108">
        <f>M89</f>
        <v>0</v>
      </c>
      <c r="P89" s="188">
        <f>O89/O91</f>
        <v>0</v>
      </c>
    </row>
    <row r="90" spans="2:16" ht="20.399999999999999" x14ac:dyDescent="0.5">
      <c r="B90" s="137" t="s">
        <v>296</v>
      </c>
      <c r="C90" s="137" t="s">
        <v>297</v>
      </c>
      <c r="D90" s="189" t="s">
        <v>298</v>
      </c>
      <c r="E90" s="187" t="s">
        <v>299</v>
      </c>
      <c r="F90" s="168"/>
      <c r="G90" s="169"/>
      <c r="H90" s="169"/>
      <c r="I90" s="169"/>
      <c r="J90" s="169"/>
      <c r="K90" s="169"/>
      <c r="L90" s="170"/>
      <c r="M90" s="176">
        <f t="shared" si="2"/>
        <v>0</v>
      </c>
      <c r="N90" s="124">
        <f t="shared" si="3"/>
        <v>0</v>
      </c>
      <c r="O90" s="108">
        <f>M90</f>
        <v>0</v>
      </c>
      <c r="P90" s="188">
        <f>O90/O91</f>
        <v>0</v>
      </c>
    </row>
    <row r="91" spans="2:16" ht="20.399999999999999" x14ac:dyDescent="0.5">
      <c r="B91" s="245" t="s">
        <v>158</v>
      </c>
      <c r="C91" s="245"/>
      <c r="D91" s="240"/>
      <c r="E91" s="240"/>
      <c r="F91" s="190">
        <f>SUM(F6:F90)</f>
        <v>0</v>
      </c>
      <c r="G91" s="190">
        <f t="shared" ref="G91:L91" si="4">SUM(G6:G90)</f>
        <v>0</v>
      </c>
      <c r="H91" s="190">
        <f t="shared" si="4"/>
        <v>0</v>
      </c>
      <c r="I91" s="190">
        <f t="shared" si="4"/>
        <v>0</v>
      </c>
      <c r="J91" s="190">
        <f t="shared" si="4"/>
        <v>0</v>
      </c>
      <c r="K91" s="190">
        <f>SUM(K6:K90)</f>
        <v>0</v>
      </c>
      <c r="L91" s="191">
        <f t="shared" si="4"/>
        <v>19</v>
      </c>
      <c r="M91" s="192">
        <f>SUM(M6:M90)</f>
        <v>19</v>
      </c>
      <c r="N91" s="193">
        <f>SUM(N6:N90)</f>
        <v>1</v>
      </c>
      <c r="O91" s="190">
        <f>SUM(O6:O90)</f>
        <v>19</v>
      </c>
      <c r="P91" s="194">
        <f>SUM(P6:P90)</f>
        <v>1</v>
      </c>
    </row>
  </sheetData>
  <mergeCells count="36">
    <mergeCell ref="B87:B88"/>
    <mergeCell ref="C87:C88"/>
    <mergeCell ref="O87:O88"/>
    <mergeCell ref="P87:P88"/>
    <mergeCell ref="B91:E91"/>
    <mergeCell ref="B69:B73"/>
    <mergeCell ref="C69:C73"/>
    <mergeCell ref="O69:O73"/>
    <mergeCell ref="P69:P73"/>
    <mergeCell ref="B74:B86"/>
    <mergeCell ref="C74:C86"/>
    <mergeCell ref="O74:O86"/>
    <mergeCell ref="P74:P86"/>
    <mergeCell ref="B41:B58"/>
    <mergeCell ref="C41:C58"/>
    <mergeCell ref="O41:O58"/>
    <mergeCell ref="P41:P58"/>
    <mergeCell ref="B59:B68"/>
    <mergeCell ref="C59:C68"/>
    <mergeCell ref="O59:O68"/>
    <mergeCell ref="P59:P68"/>
    <mergeCell ref="B6:B13"/>
    <mergeCell ref="C6:C13"/>
    <mergeCell ref="O6:O13"/>
    <mergeCell ref="P6:P13"/>
    <mergeCell ref="B14:B40"/>
    <mergeCell ref="C14:C40"/>
    <mergeCell ref="O14:O40"/>
    <mergeCell ref="P14:P40"/>
    <mergeCell ref="B2:P2"/>
    <mergeCell ref="B3:C5"/>
    <mergeCell ref="D3:E5"/>
    <mergeCell ref="F3:L4"/>
    <mergeCell ref="M3:P3"/>
    <mergeCell ref="M4:N4"/>
    <mergeCell ref="O4:P4"/>
  </mergeCells>
  <printOptions horizontalCentered="1"/>
  <pageMargins left="0.31496062992125984" right="0.31496062992125984" top="0.35433070866141736" bottom="0.35433070866141736" header="0.31496062992125984" footer="0.31496062992125984"/>
  <pageSetup paperSize="8" scale="6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BE0D-216A-495A-A212-CC3DBE31D5D8}">
  <sheetPr>
    <tabColor rgb="FF92D050"/>
    <pageSetUpPr fitToPage="1"/>
  </sheetPr>
  <dimension ref="B2:P91"/>
  <sheetViews>
    <sheetView topLeftCell="A4" zoomScale="90" zoomScaleNormal="90" workbookViewId="0">
      <selection activeCell="E20" sqref="E20"/>
    </sheetView>
  </sheetViews>
  <sheetFormatPr defaultColWidth="8.69921875" defaultRowHeight="19.8" x14ac:dyDescent="0.5"/>
  <cols>
    <col min="1" max="1" width="2.59765625" style="115" customWidth="1"/>
    <col min="2" max="2" width="8.69921875" style="195"/>
    <col min="3" max="3" width="20.69921875" style="195" customWidth="1"/>
    <col min="4" max="4" width="8.69921875" style="195"/>
    <col min="5" max="5" width="61" style="195" customWidth="1"/>
    <col min="6" max="12" width="8.69921875" style="195"/>
    <col min="13" max="16" width="10.69921875" style="195" customWidth="1"/>
    <col min="17" max="16384" width="8.69921875" style="115"/>
  </cols>
  <sheetData>
    <row r="2" spans="2:16" ht="26.4" x14ac:dyDescent="0.5">
      <c r="B2" s="256" t="s">
        <v>318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</row>
    <row r="3" spans="2:16" ht="20.399999999999999" x14ac:dyDescent="0.5">
      <c r="B3" s="257" t="s">
        <v>155</v>
      </c>
      <c r="C3" s="258"/>
      <c r="D3" s="257" t="s">
        <v>156</v>
      </c>
      <c r="E3" s="258"/>
      <c r="F3" s="257" t="s">
        <v>157</v>
      </c>
      <c r="G3" s="263"/>
      <c r="H3" s="263"/>
      <c r="I3" s="263"/>
      <c r="J3" s="263"/>
      <c r="K3" s="263"/>
      <c r="L3" s="264"/>
      <c r="M3" s="267" t="s">
        <v>158</v>
      </c>
      <c r="N3" s="267"/>
      <c r="O3" s="268"/>
      <c r="P3" s="268"/>
    </row>
    <row r="4" spans="2:16" ht="20.399999999999999" x14ac:dyDescent="0.5">
      <c r="B4" s="259"/>
      <c r="C4" s="260"/>
      <c r="D4" s="259"/>
      <c r="E4" s="260"/>
      <c r="F4" s="261"/>
      <c r="G4" s="265"/>
      <c r="H4" s="265"/>
      <c r="I4" s="265"/>
      <c r="J4" s="265"/>
      <c r="K4" s="265"/>
      <c r="L4" s="266"/>
      <c r="M4" s="269" t="s">
        <v>156</v>
      </c>
      <c r="N4" s="267"/>
      <c r="O4" s="270" t="s">
        <v>155</v>
      </c>
      <c r="P4" s="267"/>
    </row>
    <row r="5" spans="2:16" ht="20.399999999999999" x14ac:dyDescent="0.5">
      <c r="B5" s="261"/>
      <c r="C5" s="262"/>
      <c r="D5" s="261"/>
      <c r="E5" s="262"/>
      <c r="F5" s="117" t="s">
        <v>70</v>
      </c>
      <c r="G5" s="117" t="s">
        <v>122</v>
      </c>
      <c r="H5" s="117" t="s">
        <v>130</v>
      </c>
      <c r="I5" s="117" t="s">
        <v>159</v>
      </c>
      <c r="J5" s="117" t="s">
        <v>160</v>
      </c>
      <c r="K5" s="117" t="s">
        <v>161</v>
      </c>
      <c r="L5" s="118" t="s">
        <v>162</v>
      </c>
      <c r="M5" s="116" t="s">
        <v>163</v>
      </c>
      <c r="N5" s="116" t="s">
        <v>164</v>
      </c>
      <c r="O5" s="117" t="s">
        <v>163</v>
      </c>
      <c r="P5" s="117" t="s">
        <v>164</v>
      </c>
    </row>
    <row r="6" spans="2:16" ht="20.399999999999999" x14ac:dyDescent="0.5">
      <c r="B6" s="239" t="s">
        <v>70</v>
      </c>
      <c r="C6" s="239" t="s">
        <v>165</v>
      </c>
      <c r="D6" s="119" t="s">
        <v>166</v>
      </c>
      <c r="E6" s="120" t="s">
        <v>167</v>
      </c>
      <c r="F6" s="121"/>
      <c r="G6" s="121"/>
      <c r="H6" s="121"/>
      <c r="I6" s="121"/>
      <c r="J6" s="121"/>
      <c r="K6" s="121"/>
      <c r="L6" s="122">
        <v>9</v>
      </c>
      <c r="M6" s="123">
        <f t="shared" ref="M6:M69" si="0">SUM(F6:L6)</f>
        <v>9</v>
      </c>
      <c r="N6" s="124">
        <f t="shared" ref="N6:N69" si="1">M6/$M$91</f>
        <v>0.19148936170212766</v>
      </c>
      <c r="O6" s="241">
        <f>SUM(M6:M13)</f>
        <v>20</v>
      </c>
      <c r="P6" s="243">
        <f>O6/O91</f>
        <v>0.42553191489361702</v>
      </c>
    </row>
    <row r="7" spans="2:16" ht="20.399999999999999" x14ac:dyDescent="0.5">
      <c r="B7" s="246"/>
      <c r="C7" s="246"/>
      <c r="D7" s="125" t="s">
        <v>168</v>
      </c>
      <c r="E7" s="126" t="s">
        <v>169</v>
      </c>
      <c r="F7" s="127"/>
      <c r="G7" s="127"/>
      <c r="H7" s="127"/>
      <c r="I7" s="127"/>
      <c r="J7" s="127"/>
      <c r="K7" s="127"/>
      <c r="L7" s="128">
        <v>1</v>
      </c>
      <c r="M7" s="129">
        <f t="shared" si="0"/>
        <v>1</v>
      </c>
      <c r="N7" s="130">
        <f t="shared" si="1"/>
        <v>2.1276595744680851E-2</v>
      </c>
      <c r="O7" s="248"/>
      <c r="P7" s="250"/>
    </row>
    <row r="8" spans="2:16" ht="20.399999999999999" x14ac:dyDescent="0.5">
      <c r="B8" s="246"/>
      <c r="C8" s="246"/>
      <c r="D8" s="125" t="s">
        <v>170</v>
      </c>
      <c r="E8" s="126" t="s">
        <v>171</v>
      </c>
      <c r="F8" s="127"/>
      <c r="G8" s="127"/>
      <c r="H8" s="127"/>
      <c r="I8" s="127"/>
      <c r="J8" s="127"/>
      <c r="K8" s="127"/>
      <c r="L8" s="128">
        <v>4</v>
      </c>
      <c r="M8" s="129">
        <f t="shared" si="0"/>
        <v>4</v>
      </c>
      <c r="N8" s="130">
        <f t="shared" si="1"/>
        <v>8.5106382978723402E-2</v>
      </c>
      <c r="O8" s="248"/>
      <c r="P8" s="250"/>
    </row>
    <row r="9" spans="2:16" ht="20.399999999999999" x14ac:dyDescent="0.5">
      <c r="B9" s="246"/>
      <c r="C9" s="246"/>
      <c r="D9" s="125" t="s">
        <v>172</v>
      </c>
      <c r="E9" s="126" t="s">
        <v>173</v>
      </c>
      <c r="F9" s="127"/>
      <c r="G9" s="127"/>
      <c r="H9" s="127"/>
      <c r="I9" s="127"/>
      <c r="J9" s="127"/>
      <c r="K9" s="127"/>
      <c r="L9" s="128">
        <v>1</v>
      </c>
      <c r="M9" s="129">
        <f t="shared" si="0"/>
        <v>1</v>
      </c>
      <c r="N9" s="130">
        <f t="shared" si="1"/>
        <v>2.1276595744680851E-2</v>
      </c>
      <c r="O9" s="248"/>
      <c r="P9" s="250"/>
    </row>
    <row r="10" spans="2:16" ht="20.399999999999999" x14ac:dyDescent="0.5">
      <c r="B10" s="246"/>
      <c r="C10" s="246"/>
      <c r="D10" s="125" t="s">
        <v>174</v>
      </c>
      <c r="E10" s="126" t="s">
        <v>175</v>
      </c>
      <c r="F10" s="127"/>
      <c r="G10" s="127"/>
      <c r="H10" s="127"/>
      <c r="I10" s="127"/>
      <c r="J10" s="127"/>
      <c r="K10" s="127"/>
      <c r="L10" s="128"/>
      <c r="M10" s="129">
        <f t="shared" si="0"/>
        <v>0</v>
      </c>
      <c r="N10" s="130">
        <f t="shared" si="1"/>
        <v>0</v>
      </c>
      <c r="O10" s="248"/>
      <c r="P10" s="250"/>
    </row>
    <row r="11" spans="2:16" ht="20.399999999999999" x14ac:dyDescent="0.5">
      <c r="B11" s="246"/>
      <c r="C11" s="246"/>
      <c r="D11" s="131"/>
      <c r="E11" s="132" t="s">
        <v>176</v>
      </c>
      <c r="F11" s="133"/>
      <c r="G11" s="127"/>
      <c r="H11" s="127"/>
      <c r="I11" s="127"/>
      <c r="J11" s="127"/>
      <c r="K11" s="127"/>
      <c r="L11" s="128">
        <v>4</v>
      </c>
      <c r="M11" s="129">
        <f t="shared" si="0"/>
        <v>4</v>
      </c>
      <c r="N11" s="130">
        <f t="shared" si="1"/>
        <v>8.5106382978723402E-2</v>
      </c>
      <c r="O11" s="248"/>
      <c r="P11" s="250"/>
    </row>
    <row r="12" spans="2:16" ht="20.399999999999999" x14ac:dyDescent="0.5">
      <c r="B12" s="246"/>
      <c r="C12" s="246"/>
      <c r="D12" s="131"/>
      <c r="E12" s="132" t="s">
        <v>177</v>
      </c>
      <c r="F12" s="134"/>
      <c r="G12" s="135"/>
      <c r="H12" s="135"/>
      <c r="I12" s="135"/>
      <c r="J12" s="135"/>
      <c r="K12" s="135"/>
      <c r="L12" s="136"/>
      <c r="M12" s="129">
        <f t="shared" si="0"/>
        <v>0</v>
      </c>
      <c r="N12" s="130">
        <f t="shared" si="1"/>
        <v>0</v>
      </c>
      <c r="O12" s="254"/>
      <c r="P12" s="255"/>
    </row>
    <row r="13" spans="2:16" ht="20.399999999999999" x14ac:dyDescent="0.5">
      <c r="B13" s="240"/>
      <c r="C13" s="240"/>
      <c r="D13" s="131"/>
      <c r="E13" s="138" t="s">
        <v>178</v>
      </c>
      <c r="F13" s="139"/>
      <c r="G13" s="140"/>
      <c r="H13" s="140"/>
      <c r="I13" s="140"/>
      <c r="J13" s="140"/>
      <c r="K13" s="140"/>
      <c r="L13" s="141">
        <v>1</v>
      </c>
      <c r="M13" s="142">
        <f t="shared" si="0"/>
        <v>1</v>
      </c>
      <c r="N13" s="143">
        <f t="shared" si="1"/>
        <v>2.1276595744680851E-2</v>
      </c>
      <c r="O13" s="242"/>
      <c r="P13" s="244"/>
    </row>
    <row r="14" spans="2:16" ht="20.399999999999999" x14ac:dyDescent="0.5">
      <c r="B14" s="239" t="s">
        <v>122</v>
      </c>
      <c r="C14" s="239" t="s">
        <v>179</v>
      </c>
      <c r="D14" s="144" t="s">
        <v>180</v>
      </c>
      <c r="E14" s="145" t="s">
        <v>181</v>
      </c>
      <c r="F14" s="146"/>
      <c r="G14" s="121"/>
      <c r="H14" s="121"/>
      <c r="I14" s="121"/>
      <c r="J14" s="121"/>
      <c r="K14" s="121"/>
      <c r="L14" s="122"/>
      <c r="M14" s="123">
        <f t="shared" si="0"/>
        <v>0</v>
      </c>
      <c r="N14" s="124">
        <f t="shared" si="1"/>
        <v>0</v>
      </c>
      <c r="O14" s="241">
        <f>SUM(M14:M40)</f>
        <v>17</v>
      </c>
      <c r="P14" s="243">
        <f>O14/O91</f>
        <v>0.36170212765957449</v>
      </c>
    </row>
    <row r="15" spans="2:16" x14ac:dyDescent="0.5">
      <c r="B15" s="246"/>
      <c r="C15" s="246"/>
      <c r="D15" s="147"/>
      <c r="E15" s="148" t="s">
        <v>182</v>
      </c>
      <c r="F15" s="149"/>
      <c r="G15" s="150"/>
      <c r="H15" s="150"/>
      <c r="I15" s="150"/>
      <c r="J15" s="150"/>
      <c r="K15" s="150"/>
      <c r="L15" s="151"/>
      <c r="M15" s="129">
        <f t="shared" si="0"/>
        <v>0</v>
      </c>
      <c r="N15" s="130">
        <f t="shared" si="1"/>
        <v>0</v>
      </c>
      <c r="O15" s="247"/>
      <c r="P15" s="249"/>
    </row>
    <row r="16" spans="2:16" x14ac:dyDescent="0.5">
      <c r="B16" s="246"/>
      <c r="C16" s="246"/>
      <c r="D16" s="152"/>
      <c r="E16" s="153" t="s">
        <v>183</v>
      </c>
      <c r="F16" s="133"/>
      <c r="G16" s="150"/>
      <c r="H16" s="150"/>
      <c r="I16" s="150"/>
      <c r="J16" s="150"/>
      <c r="K16" s="150"/>
      <c r="L16" s="151"/>
      <c r="M16" s="129">
        <f t="shared" si="0"/>
        <v>0</v>
      </c>
      <c r="N16" s="130">
        <f t="shared" si="1"/>
        <v>0</v>
      </c>
      <c r="O16" s="247"/>
      <c r="P16" s="249"/>
    </row>
    <row r="17" spans="2:16" ht="20.399999999999999" x14ac:dyDescent="0.5">
      <c r="B17" s="246"/>
      <c r="C17" s="246"/>
      <c r="D17" s="154" t="s">
        <v>184</v>
      </c>
      <c r="E17" s="155" t="s">
        <v>185</v>
      </c>
      <c r="F17" s="133"/>
      <c r="G17" s="150"/>
      <c r="H17" s="150"/>
      <c r="I17" s="150"/>
      <c r="J17" s="150"/>
      <c r="K17" s="150"/>
      <c r="L17" s="151"/>
      <c r="M17" s="129">
        <f t="shared" si="0"/>
        <v>0</v>
      </c>
      <c r="N17" s="130">
        <f t="shared" si="1"/>
        <v>0</v>
      </c>
      <c r="O17" s="247"/>
      <c r="P17" s="249"/>
    </row>
    <row r="18" spans="2:16" x14ac:dyDescent="0.5">
      <c r="B18" s="246"/>
      <c r="C18" s="246"/>
      <c r="D18" s="156"/>
      <c r="E18" s="148" t="s">
        <v>186</v>
      </c>
      <c r="F18" s="149"/>
      <c r="G18" s="150"/>
      <c r="H18" s="150"/>
      <c r="I18" s="150"/>
      <c r="J18" s="150"/>
      <c r="K18" s="150"/>
      <c r="L18" s="151"/>
      <c r="M18" s="129">
        <f t="shared" si="0"/>
        <v>0</v>
      </c>
      <c r="N18" s="130">
        <f t="shared" si="1"/>
        <v>0</v>
      </c>
      <c r="O18" s="247"/>
      <c r="P18" s="249"/>
    </row>
    <row r="19" spans="2:16" x14ac:dyDescent="0.5">
      <c r="B19" s="246"/>
      <c r="C19" s="246"/>
      <c r="D19" s="147"/>
      <c r="E19" s="148" t="s">
        <v>187</v>
      </c>
      <c r="F19" s="149"/>
      <c r="G19" s="150"/>
      <c r="H19" s="150"/>
      <c r="I19" s="150"/>
      <c r="J19" s="150"/>
      <c r="K19" s="150"/>
      <c r="L19" s="151"/>
      <c r="M19" s="129">
        <f t="shared" si="0"/>
        <v>0</v>
      </c>
      <c r="N19" s="130">
        <f t="shared" si="1"/>
        <v>0</v>
      </c>
      <c r="O19" s="247"/>
      <c r="P19" s="249"/>
    </row>
    <row r="20" spans="2:16" x14ac:dyDescent="0.5">
      <c r="B20" s="246"/>
      <c r="C20" s="246"/>
      <c r="D20" s="147"/>
      <c r="E20" s="148" t="s">
        <v>188</v>
      </c>
      <c r="F20" s="149"/>
      <c r="G20" s="150"/>
      <c r="H20" s="150"/>
      <c r="I20" s="150"/>
      <c r="J20" s="150"/>
      <c r="K20" s="150"/>
      <c r="L20" s="151"/>
      <c r="M20" s="129">
        <f t="shared" si="0"/>
        <v>0</v>
      </c>
      <c r="N20" s="130">
        <f t="shared" si="1"/>
        <v>0</v>
      </c>
      <c r="O20" s="247"/>
      <c r="P20" s="249"/>
    </row>
    <row r="21" spans="2:16" x14ac:dyDescent="0.5">
      <c r="B21" s="246"/>
      <c r="C21" s="246"/>
      <c r="D21" s="147"/>
      <c r="E21" s="148" t="s">
        <v>189</v>
      </c>
      <c r="F21" s="149"/>
      <c r="G21" s="150"/>
      <c r="H21" s="150"/>
      <c r="I21" s="150"/>
      <c r="J21" s="150"/>
      <c r="K21" s="150"/>
      <c r="L21" s="151"/>
      <c r="M21" s="129">
        <f t="shared" si="0"/>
        <v>0</v>
      </c>
      <c r="N21" s="130">
        <f t="shared" si="1"/>
        <v>0</v>
      </c>
      <c r="O21" s="247"/>
      <c r="P21" s="249"/>
    </row>
    <row r="22" spans="2:16" x14ac:dyDescent="0.5">
      <c r="B22" s="246"/>
      <c r="C22" s="246"/>
      <c r="D22" s="147"/>
      <c r="E22" s="148" t="s">
        <v>190</v>
      </c>
      <c r="F22" s="149"/>
      <c r="G22" s="150"/>
      <c r="H22" s="150"/>
      <c r="I22" s="150"/>
      <c r="J22" s="150"/>
      <c r="K22" s="150"/>
      <c r="L22" s="151"/>
      <c r="M22" s="129">
        <f t="shared" si="0"/>
        <v>0</v>
      </c>
      <c r="N22" s="130">
        <f t="shared" si="1"/>
        <v>0</v>
      </c>
      <c r="O22" s="247"/>
      <c r="P22" s="249"/>
    </row>
    <row r="23" spans="2:16" x14ac:dyDescent="0.5">
      <c r="B23" s="246"/>
      <c r="C23" s="246"/>
      <c r="D23" s="147"/>
      <c r="E23" s="148" t="s">
        <v>191</v>
      </c>
      <c r="F23" s="149"/>
      <c r="G23" s="150"/>
      <c r="H23" s="150"/>
      <c r="I23" s="150"/>
      <c r="J23" s="150"/>
      <c r="K23" s="150"/>
      <c r="L23" s="151"/>
      <c r="M23" s="129">
        <f t="shared" si="0"/>
        <v>0</v>
      </c>
      <c r="N23" s="130">
        <f t="shared" si="1"/>
        <v>0</v>
      </c>
      <c r="O23" s="247"/>
      <c r="P23" s="249"/>
    </row>
    <row r="24" spans="2:16" x14ac:dyDescent="0.5">
      <c r="B24" s="246"/>
      <c r="C24" s="246"/>
      <c r="D24" s="147"/>
      <c r="E24" s="148" t="s">
        <v>192</v>
      </c>
      <c r="F24" s="149"/>
      <c r="G24" s="150"/>
      <c r="H24" s="150"/>
      <c r="I24" s="150"/>
      <c r="J24" s="150"/>
      <c r="K24" s="150"/>
      <c r="L24" s="151"/>
      <c r="M24" s="129">
        <f t="shared" si="0"/>
        <v>0</v>
      </c>
      <c r="N24" s="130">
        <f t="shared" si="1"/>
        <v>0</v>
      </c>
      <c r="O24" s="247"/>
      <c r="P24" s="249"/>
    </row>
    <row r="25" spans="2:16" x14ac:dyDescent="0.5">
      <c r="B25" s="246"/>
      <c r="C25" s="246"/>
      <c r="D25" s="147"/>
      <c r="E25" s="148" t="s">
        <v>193</v>
      </c>
      <c r="F25" s="149"/>
      <c r="G25" s="150"/>
      <c r="H25" s="150"/>
      <c r="I25" s="150"/>
      <c r="J25" s="150"/>
      <c r="K25" s="150"/>
      <c r="L25" s="151"/>
      <c r="M25" s="129">
        <f t="shared" si="0"/>
        <v>0</v>
      </c>
      <c r="N25" s="130">
        <f t="shared" si="1"/>
        <v>0</v>
      </c>
      <c r="O25" s="247"/>
      <c r="P25" s="249"/>
    </row>
    <row r="26" spans="2:16" x14ac:dyDescent="0.5">
      <c r="B26" s="246"/>
      <c r="C26" s="246"/>
      <c r="D26" s="147"/>
      <c r="E26" s="148" t="s">
        <v>194</v>
      </c>
      <c r="F26" s="149"/>
      <c r="G26" s="150"/>
      <c r="H26" s="150"/>
      <c r="I26" s="150"/>
      <c r="J26" s="150"/>
      <c r="K26" s="150"/>
      <c r="L26" s="151"/>
      <c r="M26" s="129">
        <f t="shared" si="0"/>
        <v>0</v>
      </c>
      <c r="N26" s="130">
        <f t="shared" si="1"/>
        <v>0</v>
      </c>
      <c r="O26" s="247"/>
      <c r="P26" s="249"/>
    </row>
    <row r="27" spans="2:16" ht="20.399999999999999" x14ac:dyDescent="0.5">
      <c r="B27" s="246"/>
      <c r="C27" s="246"/>
      <c r="D27" s="154" t="s">
        <v>195</v>
      </c>
      <c r="E27" s="155" t="s">
        <v>196</v>
      </c>
      <c r="F27" s="149"/>
      <c r="G27" s="150"/>
      <c r="H27" s="150"/>
      <c r="I27" s="150"/>
      <c r="J27" s="150"/>
      <c r="K27" s="150"/>
      <c r="L27" s="151"/>
      <c r="M27" s="129">
        <f t="shared" si="0"/>
        <v>0</v>
      </c>
      <c r="N27" s="130">
        <f t="shared" si="1"/>
        <v>0</v>
      </c>
      <c r="O27" s="247"/>
      <c r="P27" s="249"/>
    </row>
    <row r="28" spans="2:16" x14ac:dyDescent="0.5">
      <c r="B28" s="246"/>
      <c r="C28" s="246"/>
      <c r="D28" s="156"/>
      <c r="E28" s="148" t="s">
        <v>197</v>
      </c>
      <c r="F28" s="149"/>
      <c r="G28" s="150"/>
      <c r="H28" s="150"/>
      <c r="I28" s="150"/>
      <c r="J28" s="150"/>
      <c r="K28" s="150"/>
      <c r="L28" s="151">
        <v>2</v>
      </c>
      <c r="M28" s="129">
        <f t="shared" si="0"/>
        <v>2</v>
      </c>
      <c r="N28" s="130">
        <f t="shared" si="1"/>
        <v>4.2553191489361701E-2</v>
      </c>
      <c r="O28" s="247"/>
      <c r="P28" s="249"/>
    </row>
    <row r="29" spans="2:16" x14ac:dyDescent="0.5">
      <c r="B29" s="246"/>
      <c r="C29" s="246"/>
      <c r="D29" s="156"/>
      <c r="E29" s="148" t="s">
        <v>198</v>
      </c>
      <c r="F29" s="149"/>
      <c r="G29" s="150"/>
      <c r="H29" s="150"/>
      <c r="I29" s="150"/>
      <c r="J29" s="150"/>
      <c r="K29" s="150"/>
      <c r="L29" s="151">
        <v>6</v>
      </c>
      <c r="M29" s="129">
        <f t="shared" si="0"/>
        <v>6</v>
      </c>
      <c r="N29" s="130">
        <f t="shared" si="1"/>
        <v>0.1276595744680851</v>
      </c>
      <c r="O29" s="247"/>
      <c r="P29" s="249"/>
    </row>
    <row r="30" spans="2:16" ht="20.399999999999999" x14ac:dyDescent="0.5">
      <c r="B30" s="246"/>
      <c r="C30" s="246"/>
      <c r="D30" s="154" t="s">
        <v>199</v>
      </c>
      <c r="E30" s="155" t="s">
        <v>200</v>
      </c>
      <c r="F30" s="149"/>
      <c r="G30" s="150"/>
      <c r="H30" s="150"/>
      <c r="I30" s="150"/>
      <c r="J30" s="150"/>
      <c r="K30" s="150"/>
      <c r="L30" s="151"/>
      <c r="M30" s="129">
        <f t="shared" si="0"/>
        <v>0</v>
      </c>
      <c r="N30" s="130">
        <f t="shared" si="1"/>
        <v>0</v>
      </c>
      <c r="O30" s="247"/>
      <c r="P30" s="249"/>
    </row>
    <row r="31" spans="2:16" ht="20.399999999999999" x14ac:dyDescent="0.5">
      <c r="B31" s="246"/>
      <c r="C31" s="246"/>
      <c r="D31" s="154" t="s">
        <v>201</v>
      </c>
      <c r="E31" s="155" t="s">
        <v>202</v>
      </c>
      <c r="F31" s="149"/>
      <c r="G31" s="150"/>
      <c r="H31" s="150"/>
      <c r="I31" s="150"/>
      <c r="J31" s="150"/>
      <c r="K31" s="150"/>
      <c r="L31" s="151"/>
      <c r="M31" s="129">
        <f t="shared" si="0"/>
        <v>0</v>
      </c>
      <c r="N31" s="130">
        <f t="shared" si="1"/>
        <v>0</v>
      </c>
      <c r="O31" s="247"/>
      <c r="P31" s="249"/>
    </row>
    <row r="32" spans="2:16" x14ac:dyDescent="0.5">
      <c r="B32" s="246"/>
      <c r="C32" s="246"/>
      <c r="D32" s="156"/>
      <c r="E32" s="148" t="s">
        <v>203</v>
      </c>
      <c r="F32" s="149"/>
      <c r="G32" s="150"/>
      <c r="H32" s="150"/>
      <c r="I32" s="150"/>
      <c r="J32" s="150"/>
      <c r="K32" s="150"/>
      <c r="L32" s="151">
        <v>3</v>
      </c>
      <c r="M32" s="129">
        <f t="shared" si="0"/>
        <v>3</v>
      </c>
      <c r="N32" s="130">
        <f t="shared" si="1"/>
        <v>6.3829787234042548E-2</v>
      </c>
      <c r="O32" s="247"/>
      <c r="P32" s="249"/>
    </row>
    <row r="33" spans="2:16" x14ac:dyDescent="0.5">
      <c r="B33" s="246"/>
      <c r="C33" s="246"/>
      <c r="D33" s="156"/>
      <c r="E33" s="148" t="s">
        <v>204</v>
      </c>
      <c r="F33" s="149"/>
      <c r="G33" s="150"/>
      <c r="H33" s="150"/>
      <c r="I33" s="150"/>
      <c r="J33" s="150"/>
      <c r="K33" s="150"/>
      <c r="L33" s="151"/>
      <c r="M33" s="129">
        <f t="shared" si="0"/>
        <v>0</v>
      </c>
      <c r="N33" s="130">
        <f t="shared" si="1"/>
        <v>0</v>
      </c>
      <c r="O33" s="247"/>
      <c r="P33" s="249"/>
    </row>
    <row r="34" spans="2:16" x14ac:dyDescent="0.5">
      <c r="B34" s="246"/>
      <c r="C34" s="246"/>
      <c r="D34" s="156"/>
      <c r="E34" s="148" t="s">
        <v>205</v>
      </c>
      <c r="F34" s="149"/>
      <c r="G34" s="150"/>
      <c r="H34" s="150"/>
      <c r="I34" s="150"/>
      <c r="J34" s="150"/>
      <c r="K34" s="150"/>
      <c r="L34" s="151">
        <v>2</v>
      </c>
      <c r="M34" s="129">
        <f t="shared" si="0"/>
        <v>2</v>
      </c>
      <c r="N34" s="130">
        <f t="shared" si="1"/>
        <v>4.2553191489361701E-2</v>
      </c>
      <c r="O34" s="247"/>
      <c r="P34" s="249"/>
    </row>
    <row r="35" spans="2:16" ht="20.399999999999999" x14ac:dyDescent="0.5">
      <c r="B35" s="246"/>
      <c r="C35" s="246"/>
      <c r="D35" s="154" t="s">
        <v>206</v>
      </c>
      <c r="E35" s="155" t="s">
        <v>207</v>
      </c>
      <c r="F35" s="149"/>
      <c r="G35" s="150"/>
      <c r="H35" s="150"/>
      <c r="I35" s="150"/>
      <c r="J35" s="150"/>
      <c r="K35" s="150"/>
      <c r="L35" s="151"/>
      <c r="M35" s="129">
        <f t="shared" si="0"/>
        <v>0</v>
      </c>
      <c r="N35" s="130">
        <f t="shared" si="1"/>
        <v>0</v>
      </c>
      <c r="O35" s="247"/>
      <c r="P35" s="249"/>
    </row>
    <row r="36" spans="2:16" x14ac:dyDescent="0.5">
      <c r="B36" s="246"/>
      <c r="C36" s="246"/>
      <c r="D36" s="156"/>
      <c r="E36" s="148" t="s">
        <v>208</v>
      </c>
      <c r="F36" s="149"/>
      <c r="G36" s="150"/>
      <c r="H36" s="150"/>
      <c r="I36" s="150"/>
      <c r="J36" s="150"/>
      <c r="K36" s="150"/>
      <c r="L36" s="151">
        <v>4</v>
      </c>
      <c r="M36" s="129">
        <f t="shared" si="0"/>
        <v>4</v>
      </c>
      <c r="N36" s="130">
        <f t="shared" si="1"/>
        <v>8.5106382978723402E-2</v>
      </c>
      <c r="O36" s="247"/>
      <c r="P36" s="249"/>
    </row>
    <row r="37" spans="2:16" x14ac:dyDescent="0.5">
      <c r="B37" s="246"/>
      <c r="C37" s="246"/>
      <c r="D37" s="156"/>
      <c r="E37" s="148" t="s">
        <v>209</v>
      </c>
      <c r="F37" s="149"/>
      <c r="G37" s="150"/>
      <c r="H37" s="150"/>
      <c r="I37" s="150"/>
      <c r="J37" s="150"/>
      <c r="K37" s="150"/>
      <c r="L37" s="151"/>
      <c r="M37" s="129">
        <f t="shared" si="0"/>
        <v>0</v>
      </c>
      <c r="N37" s="130">
        <f t="shared" si="1"/>
        <v>0</v>
      </c>
      <c r="O37" s="247"/>
      <c r="P37" s="249"/>
    </row>
    <row r="38" spans="2:16" x14ac:dyDescent="0.5">
      <c r="B38" s="246"/>
      <c r="C38" s="246"/>
      <c r="D38" s="156"/>
      <c r="E38" s="148" t="s">
        <v>210</v>
      </c>
      <c r="F38" s="149"/>
      <c r="G38" s="150"/>
      <c r="H38" s="150"/>
      <c r="I38" s="150"/>
      <c r="J38" s="150"/>
      <c r="K38" s="150"/>
      <c r="L38" s="151"/>
      <c r="M38" s="129">
        <f t="shared" si="0"/>
        <v>0</v>
      </c>
      <c r="N38" s="130">
        <f t="shared" si="1"/>
        <v>0</v>
      </c>
      <c r="O38" s="247"/>
      <c r="P38" s="249"/>
    </row>
    <row r="39" spans="2:16" x14ac:dyDescent="0.5">
      <c r="B39" s="246"/>
      <c r="C39" s="246"/>
      <c r="D39" s="156"/>
      <c r="E39" s="148" t="s">
        <v>211</v>
      </c>
      <c r="F39" s="149"/>
      <c r="G39" s="150"/>
      <c r="H39" s="150"/>
      <c r="I39" s="150"/>
      <c r="J39" s="150"/>
      <c r="K39" s="150"/>
      <c r="L39" s="151"/>
      <c r="M39" s="129">
        <f t="shared" si="0"/>
        <v>0</v>
      </c>
      <c r="N39" s="130">
        <f t="shared" si="1"/>
        <v>0</v>
      </c>
      <c r="O39" s="247"/>
      <c r="P39" s="249"/>
    </row>
    <row r="40" spans="2:16" x14ac:dyDescent="0.5">
      <c r="B40" s="240"/>
      <c r="C40" s="240"/>
      <c r="D40" s="157"/>
      <c r="E40" s="138" t="s">
        <v>212</v>
      </c>
      <c r="F40" s="139"/>
      <c r="G40" s="140"/>
      <c r="H40" s="140"/>
      <c r="I40" s="140"/>
      <c r="J40" s="140"/>
      <c r="K40" s="140"/>
      <c r="L40" s="141"/>
      <c r="M40" s="142">
        <f t="shared" si="0"/>
        <v>0</v>
      </c>
      <c r="N40" s="143">
        <f t="shared" si="1"/>
        <v>0</v>
      </c>
      <c r="O40" s="242"/>
      <c r="P40" s="244"/>
    </row>
    <row r="41" spans="2:16" ht="20.399999999999999" x14ac:dyDescent="0.5">
      <c r="B41" s="239" t="s">
        <v>130</v>
      </c>
      <c r="C41" s="251" t="s">
        <v>213</v>
      </c>
      <c r="D41" s="158" t="s">
        <v>214</v>
      </c>
      <c r="E41" s="145" t="s">
        <v>215</v>
      </c>
      <c r="F41" s="149"/>
      <c r="G41" s="150"/>
      <c r="H41" s="150"/>
      <c r="I41" s="150"/>
      <c r="J41" s="150"/>
      <c r="K41" s="150"/>
      <c r="L41" s="151"/>
      <c r="M41" s="123">
        <f t="shared" si="0"/>
        <v>0</v>
      </c>
      <c r="N41" s="124">
        <f t="shared" si="1"/>
        <v>0</v>
      </c>
      <c r="O41" s="241">
        <f>SUM(M41:M58)</f>
        <v>4</v>
      </c>
      <c r="P41" s="243">
        <f>O41/O91</f>
        <v>8.5106382978723402E-2</v>
      </c>
    </row>
    <row r="42" spans="2:16" ht="20.399999999999999" x14ac:dyDescent="0.5">
      <c r="B42" s="246"/>
      <c r="C42" s="252"/>
      <c r="D42" s="159" t="s">
        <v>216</v>
      </c>
      <c r="E42" s="155" t="s">
        <v>217</v>
      </c>
      <c r="F42" s="149"/>
      <c r="G42" s="150"/>
      <c r="H42" s="150"/>
      <c r="I42" s="150"/>
      <c r="J42" s="150"/>
      <c r="K42" s="150"/>
      <c r="L42" s="151">
        <v>4</v>
      </c>
      <c r="M42" s="129">
        <f t="shared" si="0"/>
        <v>4</v>
      </c>
      <c r="N42" s="160">
        <f t="shared" si="1"/>
        <v>8.5106382978723402E-2</v>
      </c>
      <c r="O42" s="247"/>
      <c r="P42" s="249"/>
    </row>
    <row r="43" spans="2:16" ht="20.399999999999999" x14ac:dyDescent="0.5">
      <c r="B43" s="246"/>
      <c r="C43" s="252"/>
      <c r="D43" s="159" t="s">
        <v>218</v>
      </c>
      <c r="E43" s="155" t="s">
        <v>219</v>
      </c>
      <c r="F43" s="149"/>
      <c r="G43" s="150"/>
      <c r="H43" s="150"/>
      <c r="I43" s="150"/>
      <c r="J43" s="150"/>
      <c r="K43" s="150"/>
      <c r="L43" s="151"/>
      <c r="M43" s="129">
        <f t="shared" si="0"/>
        <v>0</v>
      </c>
      <c r="N43" s="160">
        <f t="shared" si="1"/>
        <v>0</v>
      </c>
      <c r="O43" s="247"/>
      <c r="P43" s="249"/>
    </row>
    <row r="44" spans="2:16" x14ac:dyDescent="0.5">
      <c r="B44" s="246"/>
      <c r="C44" s="252"/>
      <c r="D44" s="161"/>
      <c r="E44" s="148" t="s">
        <v>220</v>
      </c>
      <c r="F44" s="149"/>
      <c r="G44" s="150"/>
      <c r="H44" s="150"/>
      <c r="I44" s="150"/>
      <c r="J44" s="150"/>
      <c r="K44" s="150"/>
      <c r="L44" s="151"/>
      <c r="M44" s="129">
        <f t="shared" si="0"/>
        <v>0</v>
      </c>
      <c r="N44" s="160">
        <f t="shared" si="1"/>
        <v>0</v>
      </c>
      <c r="O44" s="247"/>
      <c r="P44" s="249"/>
    </row>
    <row r="45" spans="2:16" x14ac:dyDescent="0.5">
      <c r="B45" s="246"/>
      <c r="C45" s="252"/>
      <c r="D45" s="161"/>
      <c r="E45" s="148" t="s">
        <v>221</v>
      </c>
      <c r="F45" s="149"/>
      <c r="G45" s="150"/>
      <c r="H45" s="150"/>
      <c r="I45" s="150"/>
      <c r="J45" s="150"/>
      <c r="K45" s="150"/>
      <c r="L45" s="151"/>
      <c r="M45" s="129">
        <f t="shared" si="0"/>
        <v>0</v>
      </c>
      <c r="N45" s="160">
        <f t="shared" si="1"/>
        <v>0</v>
      </c>
      <c r="O45" s="247"/>
      <c r="P45" s="249"/>
    </row>
    <row r="46" spans="2:16" x14ac:dyDescent="0.5">
      <c r="B46" s="246"/>
      <c r="C46" s="252"/>
      <c r="D46" s="161"/>
      <c r="E46" s="148" t="s">
        <v>222</v>
      </c>
      <c r="F46" s="149"/>
      <c r="G46" s="150"/>
      <c r="H46" s="150"/>
      <c r="I46" s="150"/>
      <c r="J46" s="150"/>
      <c r="K46" s="150"/>
      <c r="L46" s="151"/>
      <c r="M46" s="129">
        <f t="shared" si="0"/>
        <v>0</v>
      </c>
      <c r="N46" s="160">
        <f t="shared" si="1"/>
        <v>0</v>
      </c>
      <c r="O46" s="247"/>
      <c r="P46" s="249"/>
    </row>
    <row r="47" spans="2:16" x14ac:dyDescent="0.5">
      <c r="B47" s="246"/>
      <c r="C47" s="252"/>
      <c r="D47" s="161"/>
      <c r="E47" s="148" t="s">
        <v>223</v>
      </c>
      <c r="F47" s="149"/>
      <c r="G47" s="150"/>
      <c r="H47" s="150"/>
      <c r="I47" s="150"/>
      <c r="J47" s="150"/>
      <c r="K47" s="150"/>
      <c r="L47" s="151"/>
      <c r="M47" s="129">
        <f t="shared" si="0"/>
        <v>0</v>
      </c>
      <c r="N47" s="160">
        <f t="shared" si="1"/>
        <v>0</v>
      </c>
      <c r="O47" s="247"/>
      <c r="P47" s="249"/>
    </row>
    <row r="48" spans="2:16" ht="20.399999999999999" x14ac:dyDescent="0.5">
      <c r="B48" s="246"/>
      <c r="C48" s="252"/>
      <c r="D48" s="159" t="s">
        <v>224</v>
      </c>
      <c r="E48" s="155" t="s">
        <v>225</v>
      </c>
      <c r="F48" s="149"/>
      <c r="G48" s="150"/>
      <c r="H48" s="150"/>
      <c r="I48" s="150"/>
      <c r="J48" s="150"/>
      <c r="K48" s="150"/>
      <c r="L48" s="151"/>
      <c r="M48" s="129">
        <f t="shared" si="0"/>
        <v>0</v>
      </c>
      <c r="N48" s="160">
        <f t="shared" si="1"/>
        <v>0</v>
      </c>
      <c r="O48" s="247"/>
      <c r="P48" s="249"/>
    </row>
    <row r="49" spans="2:16" ht="20.399999999999999" x14ac:dyDescent="0.5">
      <c r="B49" s="246"/>
      <c r="C49" s="252"/>
      <c r="D49" s="159" t="s">
        <v>226</v>
      </c>
      <c r="E49" s="155" t="s">
        <v>227</v>
      </c>
      <c r="F49" s="149"/>
      <c r="G49" s="150"/>
      <c r="H49" s="150"/>
      <c r="I49" s="150"/>
      <c r="J49" s="150"/>
      <c r="K49" s="150"/>
      <c r="L49" s="151"/>
      <c r="M49" s="129">
        <f t="shared" si="0"/>
        <v>0</v>
      </c>
      <c r="N49" s="160">
        <f t="shared" si="1"/>
        <v>0</v>
      </c>
      <c r="O49" s="247"/>
      <c r="P49" s="249"/>
    </row>
    <row r="50" spans="2:16" x14ac:dyDescent="0.5">
      <c r="B50" s="246"/>
      <c r="C50" s="252"/>
      <c r="D50" s="161"/>
      <c r="E50" s="148" t="s">
        <v>228</v>
      </c>
      <c r="F50" s="149"/>
      <c r="G50" s="150"/>
      <c r="H50" s="150"/>
      <c r="I50" s="150"/>
      <c r="J50" s="150"/>
      <c r="K50" s="150"/>
      <c r="L50" s="151"/>
      <c r="M50" s="129">
        <f t="shared" si="0"/>
        <v>0</v>
      </c>
      <c r="N50" s="160">
        <f t="shared" si="1"/>
        <v>0</v>
      </c>
      <c r="O50" s="247"/>
      <c r="P50" s="249"/>
    </row>
    <row r="51" spans="2:16" x14ac:dyDescent="0.5">
      <c r="B51" s="246"/>
      <c r="C51" s="252"/>
      <c r="D51" s="161"/>
      <c r="E51" s="148" t="s">
        <v>229</v>
      </c>
      <c r="F51" s="149"/>
      <c r="G51" s="150"/>
      <c r="H51" s="150"/>
      <c r="I51" s="150"/>
      <c r="J51" s="150"/>
      <c r="K51" s="150"/>
      <c r="L51" s="151"/>
      <c r="M51" s="129">
        <f t="shared" si="0"/>
        <v>0</v>
      </c>
      <c r="N51" s="160">
        <f t="shared" si="1"/>
        <v>0</v>
      </c>
      <c r="O51" s="247"/>
      <c r="P51" s="249"/>
    </row>
    <row r="52" spans="2:16" ht="20.399999999999999" x14ac:dyDescent="0.5">
      <c r="B52" s="246"/>
      <c r="C52" s="252"/>
      <c r="D52" s="159" t="s">
        <v>230</v>
      </c>
      <c r="E52" s="155" t="s">
        <v>231</v>
      </c>
      <c r="F52" s="149"/>
      <c r="G52" s="150"/>
      <c r="H52" s="150"/>
      <c r="I52" s="150"/>
      <c r="J52" s="150"/>
      <c r="K52" s="150"/>
      <c r="L52" s="151"/>
      <c r="M52" s="129">
        <f t="shared" si="0"/>
        <v>0</v>
      </c>
      <c r="N52" s="160">
        <f t="shared" si="1"/>
        <v>0</v>
      </c>
      <c r="O52" s="247"/>
      <c r="P52" s="249"/>
    </row>
    <row r="53" spans="2:16" x14ac:dyDescent="0.5">
      <c r="B53" s="246"/>
      <c r="C53" s="252"/>
      <c r="D53" s="161"/>
      <c r="E53" s="148" t="s">
        <v>232</v>
      </c>
      <c r="F53" s="149"/>
      <c r="G53" s="150"/>
      <c r="H53" s="150"/>
      <c r="I53" s="150"/>
      <c r="J53" s="150"/>
      <c r="K53" s="150"/>
      <c r="L53" s="151"/>
      <c r="M53" s="129">
        <f t="shared" si="0"/>
        <v>0</v>
      </c>
      <c r="N53" s="160">
        <f t="shared" si="1"/>
        <v>0</v>
      </c>
      <c r="O53" s="247"/>
      <c r="P53" s="249"/>
    </row>
    <row r="54" spans="2:16" x14ac:dyDescent="0.5">
      <c r="B54" s="246"/>
      <c r="C54" s="252"/>
      <c r="D54" s="161"/>
      <c r="E54" s="148" t="s">
        <v>233</v>
      </c>
      <c r="F54" s="149"/>
      <c r="G54" s="150"/>
      <c r="H54" s="150"/>
      <c r="I54" s="150"/>
      <c r="J54" s="150"/>
      <c r="K54" s="150"/>
      <c r="L54" s="151"/>
      <c r="M54" s="129">
        <f t="shared" si="0"/>
        <v>0</v>
      </c>
      <c r="N54" s="160">
        <f t="shared" si="1"/>
        <v>0</v>
      </c>
      <c r="O54" s="247"/>
      <c r="P54" s="249"/>
    </row>
    <row r="55" spans="2:16" ht="20.399999999999999" x14ac:dyDescent="0.5">
      <c r="B55" s="246"/>
      <c r="C55" s="252"/>
      <c r="D55" s="159" t="s">
        <v>234</v>
      </c>
      <c r="E55" s="155" t="s">
        <v>235</v>
      </c>
      <c r="F55" s="149"/>
      <c r="G55" s="150"/>
      <c r="H55" s="150"/>
      <c r="I55" s="150"/>
      <c r="J55" s="150"/>
      <c r="K55" s="150"/>
      <c r="L55" s="151"/>
      <c r="M55" s="129">
        <f t="shared" si="0"/>
        <v>0</v>
      </c>
      <c r="N55" s="160">
        <f t="shared" si="1"/>
        <v>0</v>
      </c>
      <c r="O55" s="247"/>
      <c r="P55" s="249"/>
    </row>
    <row r="56" spans="2:16" x14ac:dyDescent="0.5">
      <c r="B56" s="246"/>
      <c r="C56" s="252"/>
      <c r="D56" s="161"/>
      <c r="E56" s="148" t="s">
        <v>236</v>
      </c>
      <c r="F56" s="149"/>
      <c r="G56" s="150"/>
      <c r="H56" s="150"/>
      <c r="I56" s="150"/>
      <c r="J56" s="150"/>
      <c r="K56" s="150"/>
      <c r="L56" s="151"/>
      <c r="M56" s="129">
        <f t="shared" si="0"/>
        <v>0</v>
      </c>
      <c r="N56" s="160">
        <f t="shared" si="1"/>
        <v>0</v>
      </c>
      <c r="O56" s="247"/>
      <c r="P56" s="249"/>
    </row>
    <row r="57" spans="2:16" x14ac:dyDescent="0.5">
      <c r="B57" s="246"/>
      <c r="C57" s="252"/>
      <c r="D57" s="161"/>
      <c r="E57" s="148" t="s">
        <v>237</v>
      </c>
      <c r="F57" s="149"/>
      <c r="G57" s="150"/>
      <c r="H57" s="150"/>
      <c r="I57" s="150"/>
      <c r="J57" s="150"/>
      <c r="K57" s="150"/>
      <c r="L57" s="151"/>
      <c r="M57" s="129">
        <f t="shared" si="0"/>
        <v>0</v>
      </c>
      <c r="N57" s="130">
        <f t="shared" si="1"/>
        <v>0</v>
      </c>
      <c r="O57" s="248"/>
      <c r="P57" s="250"/>
    </row>
    <row r="58" spans="2:16" x14ac:dyDescent="0.5">
      <c r="B58" s="246"/>
      <c r="C58" s="252"/>
      <c r="D58" s="161"/>
      <c r="E58" s="138" t="s">
        <v>238</v>
      </c>
      <c r="F58" s="162"/>
      <c r="G58" s="163"/>
      <c r="H58" s="163"/>
      <c r="I58" s="163"/>
      <c r="J58" s="163"/>
      <c r="K58" s="163"/>
      <c r="L58" s="164"/>
      <c r="M58" s="142">
        <f t="shared" si="0"/>
        <v>0</v>
      </c>
      <c r="N58" s="143">
        <f t="shared" si="1"/>
        <v>0</v>
      </c>
      <c r="O58" s="242"/>
      <c r="P58" s="244"/>
    </row>
    <row r="59" spans="2:16" ht="20.399999999999999" x14ac:dyDescent="0.5">
      <c r="B59" s="251" t="s">
        <v>159</v>
      </c>
      <c r="C59" s="251" t="s">
        <v>239</v>
      </c>
      <c r="D59" s="144" t="s">
        <v>240</v>
      </c>
      <c r="E59" s="145" t="s">
        <v>241</v>
      </c>
      <c r="F59" s="146"/>
      <c r="G59" s="121"/>
      <c r="H59" s="121"/>
      <c r="I59" s="121"/>
      <c r="J59" s="121"/>
      <c r="K59" s="121"/>
      <c r="L59" s="122"/>
      <c r="M59" s="123">
        <f t="shared" si="0"/>
        <v>0</v>
      </c>
      <c r="N59" s="124">
        <f t="shared" si="1"/>
        <v>0</v>
      </c>
      <c r="O59" s="241">
        <f>SUM(M59:M68)</f>
        <v>6</v>
      </c>
      <c r="P59" s="243">
        <f>O59/O91</f>
        <v>0.1276595744680851</v>
      </c>
    </row>
    <row r="60" spans="2:16" ht="20.399999999999999" x14ac:dyDescent="0.5">
      <c r="B60" s="252"/>
      <c r="C60" s="252"/>
      <c r="D60" s="165" t="s">
        <v>242</v>
      </c>
      <c r="E60" s="155" t="s">
        <v>243</v>
      </c>
      <c r="F60" s="149"/>
      <c r="G60" s="150"/>
      <c r="H60" s="150"/>
      <c r="I60" s="150"/>
      <c r="J60" s="150"/>
      <c r="K60" s="150"/>
      <c r="L60" s="151"/>
      <c r="M60" s="129">
        <f t="shared" si="0"/>
        <v>0</v>
      </c>
      <c r="N60" s="130">
        <f t="shared" si="1"/>
        <v>0</v>
      </c>
      <c r="O60" s="248"/>
      <c r="P60" s="250"/>
    </row>
    <row r="61" spans="2:16" x14ac:dyDescent="0.5">
      <c r="B61" s="252"/>
      <c r="C61" s="252"/>
      <c r="D61" s="161"/>
      <c r="E61" s="148" t="s">
        <v>244</v>
      </c>
      <c r="F61" s="149"/>
      <c r="G61" s="150"/>
      <c r="H61" s="150"/>
      <c r="I61" s="150"/>
      <c r="J61" s="150"/>
      <c r="K61" s="150"/>
      <c r="L61" s="151"/>
      <c r="M61" s="129">
        <f t="shared" si="0"/>
        <v>0</v>
      </c>
      <c r="N61" s="130">
        <f t="shared" si="1"/>
        <v>0</v>
      </c>
      <c r="O61" s="248"/>
      <c r="P61" s="250"/>
    </row>
    <row r="62" spans="2:16" x14ac:dyDescent="0.5">
      <c r="B62" s="252"/>
      <c r="C62" s="252"/>
      <c r="D62" s="161"/>
      <c r="E62" s="148" t="s">
        <v>245</v>
      </c>
      <c r="F62" s="149"/>
      <c r="G62" s="150"/>
      <c r="H62" s="150"/>
      <c r="I62" s="150"/>
      <c r="J62" s="150"/>
      <c r="K62" s="150"/>
      <c r="L62" s="151"/>
      <c r="M62" s="129">
        <f t="shared" si="0"/>
        <v>0</v>
      </c>
      <c r="N62" s="130">
        <f t="shared" si="1"/>
        <v>0</v>
      </c>
      <c r="O62" s="248"/>
      <c r="P62" s="250"/>
    </row>
    <row r="63" spans="2:16" ht="20.399999999999999" x14ac:dyDescent="0.5">
      <c r="B63" s="252"/>
      <c r="C63" s="252"/>
      <c r="D63" s="165" t="s">
        <v>246</v>
      </c>
      <c r="E63" s="155" t="s">
        <v>247</v>
      </c>
      <c r="F63" s="149"/>
      <c r="G63" s="150"/>
      <c r="H63" s="150"/>
      <c r="I63" s="150"/>
      <c r="J63" s="150"/>
      <c r="K63" s="150"/>
      <c r="L63" s="151"/>
      <c r="M63" s="129">
        <f t="shared" si="0"/>
        <v>0</v>
      </c>
      <c r="N63" s="130">
        <f t="shared" si="1"/>
        <v>0</v>
      </c>
      <c r="O63" s="248"/>
      <c r="P63" s="250"/>
    </row>
    <row r="64" spans="2:16" x14ac:dyDescent="0.5">
      <c r="B64" s="252"/>
      <c r="C64" s="252"/>
      <c r="D64" s="161"/>
      <c r="E64" s="148" t="s">
        <v>248</v>
      </c>
      <c r="F64" s="149"/>
      <c r="G64" s="150"/>
      <c r="H64" s="150"/>
      <c r="I64" s="150"/>
      <c r="J64" s="150"/>
      <c r="K64" s="150"/>
      <c r="L64" s="151">
        <v>2</v>
      </c>
      <c r="M64" s="129">
        <f t="shared" si="0"/>
        <v>2</v>
      </c>
      <c r="N64" s="130">
        <f t="shared" si="1"/>
        <v>4.2553191489361701E-2</v>
      </c>
      <c r="O64" s="248"/>
      <c r="P64" s="250"/>
    </row>
    <row r="65" spans="2:16" x14ac:dyDescent="0.5">
      <c r="B65" s="252"/>
      <c r="C65" s="252"/>
      <c r="D65" s="161"/>
      <c r="E65" s="148" t="s">
        <v>249</v>
      </c>
      <c r="F65" s="149"/>
      <c r="G65" s="150"/>
      <c r="H65" s="150"/>
      <c r="I65" s="150"/>
      <c r="J65" s="150"/>
      <c r="K65" s="150"/>
      <c r="L65" s="151">
        <v>4</v>
      </c>
      <c r="M65" s="129">
        <f t="shared" si="0"/>
        <v>4</v>
      </c>
      <c r="N65" s="130">
        <f t="shared" si="1"/>
        <v>8.5106382978723402E-2</v>
      </c>
      <c r="O65" s="248"/>
      <c r="P65" s="250"/>
    </row>
    <row r="66" spans="2:16" ht="20.399999999999999" x14ac:dyDescent="0.5">
      <c r="B66" s="252"/>
      <c r="C66" s="252"/>
      <c r="D66" s="165" t="s">
        <v>250</v>
      </c>
      <c r="E66" s="155" t="s">
        <v>251</v>
      </c>
      <c r="F66" s="149"/>
      <c r="G66" s="150"/>
      <c r="H66" s="150"/>
      <c r="I66" s="150"/>
      <c r="J66" s="150"/>
      <c r="K66" s="150"/>
      <c r="L66" s="151"/>
      <c r="M66" s="129">
        <f t="shared" si="0"/>
        <v>0</v>
      </c>
      <c r="N66" s="130">
        <f t="shared" si="1"/>
        <v>0</v>
      </c>
      <c r="O66" s="248"/>
      <c r="P66" s="250"/>
    </row>
    <row r="67" spans="2:16" ht="20.399999999999999" x14ac:dyDescent="0.5">
      <c r="B67" s="252"/>
      <c r="C67" s="252"/>
      <c r="D67" s="165" t="s">
        <v>252</v>
      </c>
      <c r="E67" s="155" t="s">
        <v>253</v>
      </c>
      <c r="F67" s="149"/>
      <c r="G67" s="150"/>
      <c r="H67" s="150"/>
      <c r="I67" s="150"/>
      <c r="J67" s="150"/>
      <c r="K67" s="150"/>
      <c r="L67" s="151"/>
      <c r="M67" s="129">
        <f t="shared" si="0"/>
        <v>0</v>
      </c>
      <c r="N67" s="130">
        <f t="shared" si="1"/>
        <v>0</v>
      </c>
      <c r="O67" s="248"/>
      <c r="P67" s="250"/>
    </row>
    <row r="68" spans="2:16" ht="20.399999999999999" x14ac:dyDescent="0.5">
      <c r="B68" s="253"/>
      <c r="C68" s="253"/>
      <c r="D68" s="166" t="s">
        <v>254</v>
      </c>
      <c r="E68" s="167" t="s">
        <v>255</v>
      </c>
      <c r="F68" s="168"/>
      <c r="G68" s="169"/>
      <c r="H68" s="169"/>
      <c r="I68" s="169"/>
      <c r="J68" s="169"/>
      <c r="K68" s="169"/>
      <c r="L68" s="170"/>
      <c r="M68" s="142">
        <f t="shared" si="0"/>
        <v>0</v>
      </c>
      <c r="N68" s="143">
        <f t="shared" si="1"/>
        <v>0</v>
      </c>
      <c r="O68" s="242"/>
      <c r="P68" s="244"/>
    </row>
    <row r="69" spans="2:16" ht="20.399999999999999" x14ac:dyDescent="0.5">
      <c r="B69" s="239" t="s">
        <v>160</v>
      </c>
      <c r="C69" s="239" t="s">
        <v>256</v>
      </c>
      <c r="D69" s="171" t="s">
        <v>257</v>
      </c>
      <c r="E69" s="145" t="s">
        <v>258</v>
      </c>
      <c r="F69" s="146"/>
      <c r="G69" s="121"/>
      <c r="H69" s="121"/>
      <c r="I69" s="121"/>
      <c r="J69" s="121"/>
      <c r="K69" s="121"/>
      <c r="L69" s="122"/>
      <c r="M69" s="123">
        <f t="shared" si="0"/>
        <v>0</v>
      </c>
      <c r="N69" s="124">
        <f t="shared" si="1"/>
        <v>0</v>
      </c>
      <c r="O69" s="241">
        <f>SUM(M69:M73)</f>
        <v>0</v>
      </c>
      <c r="P69" s="243">
        <f>O69/O91</f>
        <v>0</v>
      </c>
    </row>
    <row r="70" spans="2:16" ht="20.399999999999999" x14ac:dyDescent="0.5">
      <c r="B70" s="246"/>
      <c r="C70" s="246"/>
      <c r="D70" s="172" t="s">
        <v>259</v>
      </c>
      <c r="E70" s="155" t="s">
        <v>260</v>
      </c>
      <c r="F70" s="149"/>
      <c r="G70" s="150"/>
      <c r="H70" s="150"/>
      <c r="I70" s="150"/>
      <c r="J70" s="150"/>
      <c r="K70" s="150"/>
      <c r="L70" s="151"/>
      <c r="M70" s="129">
        <f t="shared" ref="M70:M90" si="2">SUM(F70:L70)</f>
        <v>0</v>
      </c>
      <c r="N70" s="130">
        <f t="shared" ref="N70:N90" si="3">M70/$M$91</f>
        <v>0</v>
      </c>
      <c r="O70" s="247"/>
      <c r="P70" s="249"/>
    </row>
    <row r="71" spans="2:16" ht="20.399999999999999" x14ac:dyDescent="0.5">
      <c r="B71" s="246"/>
      <c r="C71" s="246"/>
      <c r="D71" s="172" t="s">
        <v>261</v>
      </c>
      <c r="E71" s="155" t="s">
        <v>262</v>
      </c>
      <c r="F71" s="149"/>
      <c r="G71" s="150"/>
      <c r="H71" s="150"/>
      <c r="I71" s="150"/>
      <c r="J71" s="150"/>
      <c r="K71" s="150"/>
      <c r="L71" s="151"/>
      <c r="M71" s="129">
        <f t="shared" si="2"/>
        <v>0</v>
      </c>
      <c r="N71" s="130">
        <f t="shared" si="3"/>
        <v>0</v>
      </c>
      <c r="O71" s="248"/>
      <c r="P71" s="250"/>
    </row>
    <row r="72" spans="2:16" ht="20.399999999999999" x14ac:dyDescent="0.5">
      <c r="B72" s="246"/>
      <c r="C72" s="246"/>
      <c r="D72" s="172" t="s">
        <v>263</v>
      </c>
      <c r="E72" s="173" t="s">
        <v>264</v>
      </c>
      <c r="F72" s="149"/>
      <c r="G72" s="150"/>
      <c r="H72" s="150"/>
      <c r="I72" s="150"/>
      <c r="J72" s="150"/>
      <c r="K72" s="150"/>
      <c r="L72" s="151"/>
      <c r="M72" s="129">
        <f t="shared" si="2"/>
        <v>0</v>
      </c>
      <c r="N72" s="130">
        <f t="shared" si="3"/>
        <v>0</v>
      </c>
      <c r="O72" s="248"/>
      <c r="P72" s="250"/>
    </row>
    <row r="73" spans="2:16" ht="20.399999999999999" x14ac:dyDescent="0.5">
      <c r="B73" s="240"/>
      <c r="C73" s="240"/>
      <c r="D73" s="174" t="s">
        <v>265</v>
      </c>
      <c r="E73" s="167" t="s">
        <v>266</v>
      </c>
      <c r="F73" s="139"/>
      <c r="G73" s="140"/>
      <c r="H73" s="140"/>
      <c r="I73" s="140"/>
      <c r="J73" s="140"/>
      <c r="K73" s="140"/>
      <c r="L73" s="141"/>
      <c r="M73" s="142">
        <f t="shared" si="2"/>
        <v>0</v>
      </c>
      <c r="N73" s="143">
        <f t="shared" si="3"/>
        <v>0</v>
      </c>
      <c r="O73" s="242"/>
      <c r="P73" s="244"/>
    </row>
    <row r="74" spans="2:16" ht="20.399999999999999" x14ac:dyDescent="0.5">
      <c r="B74" s="239" t="s">
        <v>267</v>
      </c>
      <c r="C74" s="239" t="s">
        <v>268</v>
      </c>
      <c r="D74" s="171" t="s">
        <v>269</v>
      </c>
      <c r="E74" s="145" t="s">
        <v>270</v>
      </c>
      <c r="F74" s="146"/>
      <c r="G74" s="121"/>
      <c r="H74" s="121"/>
      <c r="I74" s="121"/>
      <c r="J74" s="121"/>
      <c r="K74" s="121"/>
      <c r="L74" s="175"/>
      <c r="M74" s="176">
        <f t="shared" si="2"/>
        <v>0</v>
      </c>
      <c r="N74" s="124">
        <f t="shared" si="3"/>
        <v>0</v>
      </c>
      <c r="O74" s="241">
        <f>SUM(M74:M86)</f>
        <v>0</v>
      </c>
      <c r="P74" s="243">
        <f>O74/O91</f>
        <v>0</v>
      </c>
    </row>
    <row r="75" spans="2:16" x14ac:dyDescent="0.5">
      <c r="B75" s="246"/>
      <c r="C75" s="246"/>
      <c r="D75" s="177"/>
      <c r="E75" s="178" t="s">
        <v>271</v>
      </c>
      <c r="F75" s="149"/>
      <c r="G75" s="150"/>
      <c r="H75" s="150"/>
      <c r="I75" s="150"/>
      <c r="J75" s="150"/>
      <c r="K75" s="150"/>
      <c r="L75" s="179"/>
      <c r="M75" s="129">
        <f t="shared" si="2"/>
        <v>0</v>
      </c>
      <c r="N75" s="130">
        <f t="shared" si="3"/>
        <v>0</v>
      </c>
      <c r="O75" s="247"/>
      <c r="P75" s="249"/>
    </row>
    <row r="76" spans="2:16" x14ac:dyDescent="0.5">
      <c r="B76" s="246"/>
      <c r="C76" s="246"/>
      <c r="D76" s="177"/>
      <c r="E76" s="178" t="s">
        <v>272</v>
      </c>
      <c r="F76" s="149"/>
      <c r="G76" s="150"/>
      <c r="H76" s="150"/>
      <c r="I76" s="150"/>
      <c r="J76" s="150"/>
      <c r="K76" s="150"/>
      <c r="L76" s="179"/>
      <c r="M76" s="129">
        <f t="shared" si="2"/>
        <v>0</v>
      </c>
      <c r="N76" s="130">
        <f t="shared" si="3"/>
        <v>0</v>
      </c>
      <c r="O76" s="247"/>
      <c r="P76" s="249"/>
    </row>
    <row r="77" spans="2:16" ht="20.399999999999999" x14ac:dyDescent="0.5">
      <c r="B77" s="246"/>
      <c r="C77" s="246"/>
      <c r="D77" s="172" t="s">
        <v>273</v>
      </c>
      <c r="E77" s="155" t="s">
        <v>274</v>
      </c>
      <c r="F77" s="149"/>
      <c r="G77" s="150"/>
      <c r="H77" s="150"/>
      <c r="I77" s="150"/>
      <c r="J77" s="150"/>
      <c r="K77" s="150"/>
      <c r="L77" s="179"/>
      <c r="M77" s="129">
        <f t="shared" si="2"/>
        <v>0</v>
      </c>
      <c r="N77" s="130">
        <f t="shared" si="3"/>
        <v>0</v>
      </c>
      <c r="O77" s="247"/>
      <c r="P77" s="249"/>
    </row>
    <row r="78" spans="2:16" x14ac:dyDescent="0.5">
      <c r="B78" s="246"/>
      <c r="C78" s="246"/>
      <c r="D78" s="180"/>
      <c r="E78" s="132" t="s">
        <v>275</v>
      </c>
      <c r="F78" s="149"/>
      <c r="G78" s="150"/>
      <c r="H78" s="150"/>
      <c r="I78" s="150"/>
      <c r="J78" s="150"/>
      <c r="K78" s="150"/>
      <c r="L78" s="179"/>
      <c r="M78" s="129">
        <f t="shared" si="2"/>
        <v>0</v>
      </c>
      <c r="N78" s="130">
        <f t="shared" si="3"/>
        <v>0</v>
      </c>
      <c r="O78" s="247"/>
      <c r="P78" s="249"/>
    </row>
    <row r="79" spans="2:16" x14ac:dyDescent="0.5">
      <c r="B79" s="246"/>
      <c r="C79" s="246"/>
      <c r="D79" s="180"/>
      <c r="E79" s="132" t="s">
        <v>276</v>
      </c>
      <c r="F79" s="149"/>
      <c r="G79" s="150"/>
      <c r="H79" s="150"/>
      <c r="I79" s="150"/>
      <c r="J79" s="150"/>
      <c r="K79" s="150"/>
      <c r="L79" s="179"/>
      <c r="M79" s="129">
        <f t="shared" si="2"/>
        <v>0</v>
      </c>
      <c r="N79" s="130">
        <f t="shared" si="3"/>
        <v>0</v>
      </c>
      <c r="O79" s="247"/>
      <c r="P79" s="249"/>
    </row>
    <row r="80" spans="2:16" ht="20.399999999999999" x14ac:dyDescent="0.5">
      <c r="B80" s="246"/>
      <c r="C80" s="246"/>
      <c r="D80" s="172" t="s">
        <v>277</v>
      </c>
      <c r="E80" s="155" t="s">
        <v>278</v>
      </c>
      <c r="F80" s="149"/>
      <c r="G80" s="150"/>
      <c r="H80" s="150"/>
      <c r="I80" s="150"/>
      <c r="J80" s="150"/>
      <c r="K80" s="150"/>
      <c r="L80" s="179"/>
      <c r="M80" s="129">
        <f t="shared" si="2"/>
        <v>0</v>
      </c>
      <c r="N80" s="130">
        <f t="shared" si="3"/>
        <v>0</v>
      </c>
      <c r="O80" s="247"/>
      <c r="P80" s="249"/>
    </row>
    <row r="81" spans="2:16" x14ac:dyDescent="0.5">
      <c r="B81" s="246"/>
      <c r="C81" s="246"/>
      <c r="D81" s="181"/>
      <c r="E81" s="182" t="s">
        <v>279</v>
      </c>
      <c r="F81" s="149"/>
      <c r="G81" s="150"/>
      <c r="H81" s="150"/>
      <c r="I81" s="150"/>
      <c r="J81" s="150"/>
      <c r="K81" s="150"/>
      <c r="L81" s="179"/>
      <c r="M81" s="129">
        <f t="shared" si="2"/>
        <v>0</v>
      </c>
      <c r="N81" s="130">
        <f t="shared" si="3"/>
        <v>0</v>
      </c>
      <c r="O81" s="247"/>
      <c r="P81" s="249"/>
    </row>
    <row r="82" spans="2:16" x14ac:dyDescent="0.5">
      <c r="B82" s="246"/>
      <c r="C82" s="246"/>
      <c r="D82" s="181"/>
      <c r="E82" s="182" t="s">
        <v>280</v>
      </c>
      <c r="F82" s="149"/>
      <c r="G82" s="150"/>
      <c r="H82" s="150"/>
      <c r="I82" s="150"/>
      <c r="J82" s="150"/>
      <c r="K82" s="150"/>
      <c r="L82" s="179"/>
      <c r="M82" s="129">
        <f t="shared" si="2"/>
        <v>0</v>
      </c>
      <c r="N82" s="130">
        <f t="shared" si="3"/>
        <v>0</v>
      </c>
      <c r="O82" s="247"/>
      <c r="P82" s="249"/>
    </row>
    <row r="83" spans="2:16" x14ac:dyDescent="0.5">
      <c r="B83" s="246"/>
      <c r="C83" s="246"/>
      <c r="D83" s="181"/>
      <c r="E83" s="182" t="s">
        <v>281</v>
      </c>
      <c r="F83" s="149"/>
      <c r="G83" s="150"/>
      <c r="H83" s="150"/>
      <c r="I83" s="150"/>
      <c r="J83" s="150"/>
      <c r="K83" s="150"/>
      <c r="L83" s="179"/>
      <c r="M83" s="129">
        <f t="shared" si="2"/>
        <v>0</v>
      </c>
      <c r="N83" s="130">
        <f t="shared" si="3"/>
        <v>0</v>
      </c>
      <c r="O83" s="247"/>
      <c r="P83" s="249"/>
    </row>
    <row r="84" spans="2:16" ht="20.399999999999999" x14ac:dyDescent="0.5">
      <c r="B84" s="246"/>
      <c r="C84" s="246"/>
      <c r="D84" s="172" t="s">
        <v>282</v>
      </c>
      <c r="E84" s="173" t="s">
        <v>283</v>
      </c>
      <c r="F84" s="149"/>
      <c r="G84" s="150"/>
      <c r="H84" s="150"/>
      <c r="I84" s="150"/>
      <c r="J84" s="150"/>
      <c r="K84" s="150"/>
      <c r="L84" s="179"/>
      <c r="M84" s="129">
        <f t="shared" si="2"/>
        <v>0</v>
      </c>
      <c r="N84" s="130">
        <f t="shared" si="3"/>
        <v>0</v>
      </c>
      <c r="O84" s="247"/>
      <c r="P84" s="249"/>
    </row>
    <row r="85" spans="2:16" x14ac:dyDescent="0.5">
      <c r="B85" s="246"/>
      <c r="C85" s="246"/>
      <c r="D85" s="181"/>
      <c r="E85" s="182" t="s">
        <v>284</v>
      </c>
      <c r="F85" s="149"/>
      <c r="G85" s="150"/>
      <c r="H85" s="150"/>
      <c r="I85" s="150"/>
      <c r="J85" s="150"/>
      <c r="K85" s="150"/>
      <c r="L85" s="179"/>
      <c r="M85" s="129">
        <f t="shared" si="2"/>
        <v>0</v>
      </c>
      <c r="N85" s="130">
        <f t="shared" si="3"/>
        <v>0</v>
      </c>
      <c r="O85" s="247"/>
      <c r="P85" s="249"/>
    </row>
    <row r="86" spans="2:16" x14ac:dyDescent="0.5">
      <c r="B86" s="240"/>
      <c r="C86" s="240"/>
      <c r="D86" s="183"/>
      <c r="E86" s="184" t="s">
        <v>285</v>
      </c>
      <c r="F86" s="168"/>
      <c r="G86" s="169"/>
      <c r="H86" s="169"/>
      <c r="I86" s="169"/>
      <c r="J86" s="169"/>
      <c r="K86" s="169"/>
      <c r="L86" s="170"/>
      <c r="M86" s="142">
        <f t="shared" si="2"/>
        <v>0</v>
      </c>
      <c r="N86" s="143">
        <f t="shared" si="3"/>
        <v>0</v>
      </c>
      <c r="O86" s="242"/>
      <c r="P86" s="244"/>
    </row>
    <row r="87" spans="2:16" ht="20.399999999999999" x14ac:dyDescent="0.5">
      <c r="B87" s="239" t="s">
        <v>286</v>
      </c>
      <c r="C87" s="239" t="s">
        <v>287</v>
      </c>
      <c r="D87" s="185" t="s">
        <v>288</v>
      </c>
      <c r="E87" s="145" t="s">
        <v>289</v>
      </c>
      <c r="F87" s="146"/>
      <c r="G87" s="121"/>
      <c r="H87" s="121"/>
      <c r="I87" s="121"/>
      <c r="J87" s="121"/>
      <c r="K87" s="121"/>
      <c r="L87" s="122"/>
      <c r="M87" s="176">
        <f t="shared" si="2"/>
        <v>0</v>
      </c>
      <c r="N87" s="124">
        <f t="shared" si="3"/>
        <v>0</v>
      </c>
      <c r="O87" s="241">
        <f>SUM(M87:M88)</f>
        <v>0</v>
      </c>
      <c r="P87" s="243">
        <f>O87/O91</f>
        <v>0</v>
      </c>
    </row>
    <row r="88" spans="2:16" ht="20.399999999999999" x14ac:dyDescent="0.5">
      <c r="B88" s="240"/>
      <c r="C88" s="240"/>
      <c r="D88" s="174" t="s">
        <v>290</v>
      </c>
      <c r="E88" s="167" t="s">
        <v>291</v>
      </c>
      <c r="F88" s="139"/>
      <c r="G88" s="140"/>
      <c r="H88" s="140"/>
      <c r="I88" s="140"/>
      <c r="J88" s="140"/>
      <c r="K88" s="140"/>
      <c r="L88" s="141"/>
      <c r="M88" s="142">
        <f t="shared" si="2"/>
        <v>0</v>
      </c>
      <c r="N88" s="143">
        <f t="shared" si="3"/>
        <v>0</v>
      </c>
      <c r="O88" s="242"/>
      <c r="P88" s="244"/>
    </row>
    <row r="89" spans="2:16" ht="20.399999999999999" x14ac:dyDescent="0.5">
      <c r="B89" s="137" t="s">
        <v>292</v>
      </c>
      <c r="C89" s="137" t="s">
        <v>293</v>
      </c>
      <c r="D89" s="186" t="s">
        <v>294</v>
      </c>
      <c r="E89" s="187" t="s">
        <v>295</v>
      </c>
      <c r="F89" s="168"/>
      <c r="G89" s="169"/>
      <c r="H89" s="169"/>
      <c r="I89" s="169"/>
      <c r="J89" s="169"/>
      <c r="K89" s="169"/>
      <c r="L89" s="170"/>
      <c r="M89" s="176">
        <f t="shared" si="2"/>
        <v>0</v>
      </c>
      <c r="N89" s="124">
        <f t="shared" si="3"/>
        <v>0</v>
      </c>
      <c r="O89" s="108">
        <f>M89</f>
        <v>0</v>
      </c>
      <c r="P89" s="188">
        <f>O89/O91</f>
        <v>0</v>
      </c>
    </row>
    <row r="90" spans="2:16" ht="20.399999999999999" x14ac:dyDescent="0.5">
      <c r="B90" s="137" t="s">
        <v>296</v>
      </c>
      <c r="C90" s="137" t="s">
        <v>297</v>
      </c>
      <c r="D90" s="189" t="s">
        <v>298</v>
      </c>
      <c r="E90" s="187" t="s">
        <v>299</v>
      </c>
      <c r="F90" s="168"/>
      <c r="G90" s="169"/>
      <c r="H90" s="169"/>
      <c r="I90" s="169"/>
      <c r="J90" s="169"/>
      <c r="K90" s="169"/>
      <c r="L90" s="170"/>
      <c r="M90" s="176">
        <f t="shared" si="2"/>
        <v>0</v>
      </c>
      <c r="N90" s="124">
        <f t="shared" si="3"/>
        <v>0</v>
      </c>
      <c r="O90" s="108">
        <f>M90</f>
        <v>0</v>
      </c>
      <c r="P90" s="188">
        <f>O90/O91</f>
        <v>0</v>
      </c>
    </row>
    <row r="91" spans="2:16" ht="20.399999999999999" x14ac:dyDescent="0.5">
      <c r="B91" s="245" t="s">
        <v>158</v>
      </c>
      <c r="C91" s="245"/>
      <c r="D91" s="240"/>
      <c r="E91" s="240"/>
      <c r="F91" s="190">
        <f>SUM(F6:F90)</f>
        <v>0</v>
      </c>
      <c r="G91" s="190">
        <f t="shared" ref="G91:L91" si="4">SUM(G6:G90)</f>
        <v>0</v>
      </c>
      <c r="H91" s="190">
        <f t="shared" si="4"/>
        <v>0</v>
      </c>
      <c r="I91" s="190">
        <f t="shared" si="4"/>
        <v>0</v>
      </c>
      <c r="J91" s="190">
        <f t="shared" si="4"/>
        <v>0</v>
      </c>
      <c r="K91" s="190">
        <f>SUM(K6:K90)</f>
        <v>0</v>
      </c>
      <c r="L91" s="191">
        <f t="shared" si="4"/>
        <v>47</v>
      </c>
      <c r="M91" s="192">
        <f>SUM(M6:M90)</f>
        <v>47</v>
      </c>
      <c r="N91" s="193">
        <f>SUM(N6:N90)</f>
        <v>0.99999999999999989</v>
      </c>
      <c r="O91" s="190">
        <f>SUM(O6:O90)</f>
        <v>47</v>
      </c>
      <c r="P91" s="194">
        <f>SUM(P6:P90)</f>
        <v>1</v>
      </c>
    </row>
  </sheetData>
  <mergeCells count="36">
    <mergeCell ref="B2:P2"/>
    <mergeCell ref="B3:C5"/>
    <mergeCell ref="D3:E5"/>
    <mergeCell ref="F3:L4"/>
    <mergeCell ref="M3:P3"/>
    <mergeCell ref="M4:N4"/>
    <mergeCell ref="O4:P4"/>
    <mergeCell ref="B6:B13"/>
    <mergeCell ref="C6:C13"/>
    <mergeCell ref="O6:O13"/>
    <mergeCell ref="P6:P13"/>
    <mergeCell ref="B14:B40"/>
    <mergeCell ref="C14:C40"/>
    <mergeCell ref="O14:O40"/>
    <mergeCell ref="P14:P40"/>
    <mergeCell ref="B41:B58"/>
    <mergeCell ref="C41:C58"/>
    <mergeCell ref="O41:O58"/>
    <mergeCell ref="P41:P58"/>
    <mergeCell ref="B59:B68"/>
    <mergeCell ref="C59:C68"/>
    <mergeCell ref="O59:O68"/>
    <mergeCell ref="P59:P68"/>
    <mergeCell ref="B69:B73"/>
    <mergeCell ref="C69:C73"/>
    <mergeCell ref="O69:O73"/>
    <mergeCell ref="P69:P73"/>
    <mergeCell ref="B74:B86"/>
    <mergeCell ref="C74:C86"/>
    <mergeCell ref="O74:O86"/>
    <mergeCell ref="P74:P86"/>
    <mergeCell ref="B87:B88"/>
    <mergeCell ref="C87:C88"/>
    <mergeCell ref="O87:O88"/>
    <mergeCell ref="P87:P88"/>
    <mergeCell ref="B91:E91"/>
  </mergeCells>
  <printOptions horizontalCentered="1"/>
  <pageMargins left="0.31496062992125984" right="0.31496062992125984" top="0.55118110236220474" bottom="0.35433070866141736" header="0.31496062992125984" footer="0.31496062992125984"/>
  <pageSetup paperSize="8" scale="5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7677-9763-4DB7-BCC7-126E3A67A605}">
  <sheetPr>
    <tabColor rgb="FF00B0F0"/>
    <pageSetUpPr fitToPage="1"/>
  </sheetPr>
  <dimension ref="B2:P91"/>
  <sheetViews>
    <sheetView zoomScale="90" zoomScaleNormal="90" workbookViewId="0">
      <selection activeCell="E17" sqref="E17"/>
    </sheetView>
  </sheetViews>
  <sheetFormatPr defaultColWidth="8.69921875" defaultRowHeight="19.8" x14ac:dyDescent="0.5"/>
  <cols>
    <col min="1" max="1" width="2.59765625" style="115" customWidth="1"/>
    <col min="2" max="2" width="8.69921875" style="195"/>
    <col min="3" max="3" width="20.69921875" style="195" customWidth="1"/>
    <col min="4" max="4" width="8.69921875" style="195"/>
    <col min="5" max="5" width="61" style="195" customWidth="1"/>
    <col min="6" max="12" width="8.69921875" style="195"/>
    <col min="13" max="16" width="10.69921875" style="195" customWidth="1"/>
    <col min="17" max="16384" width="8.69921875" style="115"/>
  </cols>
  <sheetData>
    <row r="2" spans="2:16" ht="26.4" x14ac:dyDescent="0.5">
      <c r="B2" s="256" t="s">
        <v>322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</row>
    <row r="3" spans="2:16" ht="20.399999999999999" x14ac:dyDescent="0.5">
      <c r="B3" s="257" t="s">
        <v>155</v>
      </c>
      <c r="C3" s="258"/>
      <c r="D3" s="257" t="s">
        <v>156</v>
      </c>
      <c r="E3" s="258"/>
      <c r="F3" s="257" t="s">
        <v>157</v>
      </c>
      <c r="G3" s="263"/>
      <c r="H3" s="263"/>
      <c r="I3" s="263"/>
      <c r="J3" s="263"/>
      <c r="K3" s="263"/>
      <c r="L3" s="264"/>
      <c r="M3" s="267" t="s">
        <v>158</v>
      </c>
      <c r="N3" s="267"/>
      <c r="O3" s="268"/>
      <c r="P3" s="268"/>
    </row>
    <row r="4" spans="2:16" ht="20.399999999999999" x14ac:dyDescent="0.5">
      <c r="B4" s="259"/>
      <c r="C4" s="260"/>
      <c r="D4" s="259"/>
      <c r="E4" s="260"/>
      <c r="F4" s="261"/>
      <c r="G4" s="265"/>
      <c r="H4" s="265"/>
      <c r="I4" s="265"/>
      <c r="J4" s="265"/>
      <c r="K4" s="265"/>
      <c r="L4" s="266"/>
      <c r="M4" s="269" t="s">
        <v>156</v>
      </c>
      <c r="N4" s="267"/>
      <c r="O4" s="270" t="s">
        <v>155</v>
      </c>
      <c r="P4" s="267"/>
    </row>
    <row r="5" spans="2:16" ht="20.399999999999999" x14ac:dyDescent="0.5">
      <c r="B5" s="261"/>
      <c r="C5" s="262"/>
      <c r="D5" s="261"/>
      <c r="E5" s="262"/>
      <c r="F5" s="117" t="s">
        <v>70</v>
      </c>
      <c r="G5" s="117" t="s">
        <v>122</v>
      </c>
      <c r="H5" s="117" t="s">
        <v>130</v>
      </c>
      <c r="I5" s="117" t="s">
        <v>159</v>
      </c>
      <c r="J5" s="117" t="s">
        <v>160</v>
      </c>
      <c r="K5" s="117" t="s">
        <v>161</v>
      </c>
      <c r="L5" s="118" t="s">
        <v>162</v>
      </c>
      <c r="M5" s="116" t="s">
        <v>163</v>
      </c>
      <c r="N5" s="116" t="s">
        <v>164</v>
      </c>
      <c r="O5" s="117" t="s">
        <v>163</v>
      </c>
      <c r="P5" s="117" t="s">
        <v>164</v>
      </c>
    </row>
    <row r="6" spans="2:16" ht="20.399999999999999" x14ac:dyDescent="0.5">
      <c r="B6" s="239" t="s">
        <v>70</v>
      </c>
      <c r="C6" s="239" t="s">
        <v>165</v>
      </c>
      <c r="D6" s="119" t="s">
        <v>166</v>
      </c>
      <c r="E6" s="120" t="s">
        <v>167</v>
      </c>
      <c r="F6" s="121"/>
      <c r="G6" s="121"/>
      <c r="H6" s="121"/>
      <c r="I6" s="121"/>
      <c r="J6" s="121"/>
      <c r="K6" s="121"/>
      <c r="L6" s="122">
        <v>9</v>
      </c>
      <c r="M6" s="123">
        <f t="shared" ref="M6:M69" si="0">SUM(F6:L6)</f>
        <v>9</v>
      </c>
      <c r="N6" s="124">
        <f t="shared" ref="N6:N69" si="1">M6/$M$91</f>
        <v>0.2</v>
      </c>
      <c r="O6" s="241">
        <f>SUM(M6:M13)</f>
        <v>21</v>
      </c>
      <c r="P6" s="243">
        <f>O6/O91</f>
        <v>0.46666666666666667</v>
      </c>
    </row>
    <row r="7" spans="2:16" ht="20.399999999999999" x14ac:dyDescent="0.5">
      <c r="B7" s="246"/>
      <c r="C7" s="246"/>
      <c r="D7" s="125" t="s">
        <v>168</v>
      </c>
      <c r="E7" s="126" t="s">
        <v>169</v>
      </c>
      <c r="F7" s="127"/>
      <c r="G7" s="127"/>
      <c r="H7" s="127"/>
      <c r="I7" s="127"/>
      <c r="J7" s="127"/>
      <c r="K7" s="127"/>
      <c r="L7" s="128">
        <v>1</v>
      </c>
      <c r="M7" s="129">
        <f t="shared" si="0"/>
        <v>1</v>
      </c>
      <c r="N7" s="130">
        <f t="shared" si="1"/>
        <v>2.2222222222222223E-2</v>
      </c>
      <c r="O7" s="248"/>
      <c r="P7" s="250"/>
    </row>
    <row r="8" spans="2:16" ht="20.399999999999999" x14ac:dyDescent="0.5">
      <c r="B8" s="246"/>
      <c r="C8" s="246"/>
      <c r="D8" s="125" t="s">
        <v>170</v>
      </c>
      <c r="E8" s="126" t="s">
        <v>171</v>
      </c>
      <c r="F8" s="127"/>
      <c r="G8" s="127"/>
      <c r="H8" s="127"/>
      <c r="I8" s="127"/>
      <c r="J8" s="127"/>
      <c r="K8" s="127"/>
      <c r="L8" s="128">
        <v>4</v>
      </c>
      <c r="M8" s="129">
        <f t="shared" si="0"/>
        <v>4</v>
      </c>
      <c r="N8" s="130">
        <f t="shared" si="1"/>
        <v>8.8888888888888892E-2</v>
      </c>
      <c r="O8" s="248"/>
      <c r="P8" s="250"/>
    </row>
    <row r="9" spans="2:16" ht="20.399999999999999" x14ac:dyDescent="0.5">
      <c r="B9" s="246"/>
      <c r="C9" s="246"/>
      <c r="D9" s="125" t="s">
        <v>172</v>
      </c>
      <c r="E9" s="126" t="s">
        <v>173</v>
      </c>
      <c r="F9" s="127"/>
      <c r="G9" s="127"/>
      <c r="H9" s="127"/>
      <c r="I9" s="127"/>
      <c r="J9" s="127"/>
      <c r="K9" s="127"/>
      <c r="L9" s="128">
        <v>2</v>
      </c>
      <c r="M9" s="129">
        <f t="shared" si="0"/>
        <v>2</v>
      </c>
      <c r="N9" s="130">
        <f t="shared" si="1"/>
        <v>4.4444444444444446E-2</v>
      </c>
      <c r="O9" s="248"/>
      <c r="P9" s="250"/>
    </row>
    <row r="10" spans="2:16" ht="20.399999999999999" x14ac:dyDescent="0.5">
      <c r="B10" s="246"/>
      <c r="C10" s="246"/>
      <c r="D10" s="125" t="s">
        <v>174</v>
      </c>
      <c r="E10" s="126" t="s">
        <v>175</v>
      </c>
      <c r="F10" s="127"/>
      <c r="G10" s="127"/>
      <c r="H10" s="127"/>
      <c r="I10" s="127"/>
      <c r="J10" s="127"/>
      <c r="K10" s="127"/>
      <c r="L10" s="128"/>
      <c r="M10" s="129">
        <f t="shared" si="0"/>
        <v>0</v>
      </c>
      <c r="N10" s="130">
        <f t="shared" si="1"/>
        <v>0</v>
      </c>
      <c r="O10" s="248"/>
      <c r="P10" s="250"/>
    </row>
    <row r="11" spans="2:16" ht="20.399999999999999" x14ac:dyDescent="0.5">
      <c r="B11" s="246"/>
      <c r="C11" s="246"/>
      <c r="D11" s="131"/>
      <c r="E11" s="132" t="s">
        <v>176</v>
      </c>
      <c r="F11" s="133"/>
      <c r="G11" s="127"/>
      <c r="H11" s="127"/>
      <c r="I11" s="127"/>
      <c r="J11" s="127"/>
      <c r="K11" s="127"/>
      <c r="L11" s="128">
        <v>4</v>
      </c>
      <c r="M11" s="129">
        <f t="shared" si="0"/>
        <v>4</v>
      </c>
      <c r="N11" s="130">
        <f t="shared" si="1"/>
        <v>8.8888888888888892E-2</v>
      </c>
      <c r="O11" s="248"/>
      <c r="P11" s="250"/>
    </row>
    <row r="12" spans="2:16" ht="20.399999999999999" x14ac:dyDescent="0.5">
      <c r="B12" s="246"/>
      <c r="C12" s="246"/>
      <c r="D12" s="131"/>
      <c r="E12" s="132" t="s">
        <v>177</v>
      </c>
      <c r="F12" s="134"/>
      <c r="G12" s="135"/>
      <c r="H12" s="135"/>
      <c r="I12" s="135"/>
      <c r="J12" s="135"/>
      <c r="K12" s="135"/>
      <c r="L12" s="136"/>
      <c r="M12" s="129">
        <f t="shared" si="0"/>
        <v>0</v>
      </c>
      <c r="N12" s="130">
        <f t="shared" si="1"/>
        <v>0</v>
      </c>
      <c r="O12" s="254"/>
      <c r="P12" s="255"/>
    </row>
    <row r="13" spans="2:16" ht="20.399999999999999" x14ac:dyDescent="0.5">
      <c r="B13" s="240"/>
      <c r="C13" s="240"/>
      <c r="D13" s="131"/>
      <c r="E13" s="138" t="s">
        <v>178</v>
      </c>
      <c r="F13" s="139"/>
      <c r="G13" s="140"/>
      <c r="H13" s="140"/>
      <c r="I13" s="140"/>
      <c r="J13" s="140"/>
      <c r="K13" s="140"/>
      <c r="L13" s="141">
        <v>1</v>
      </c>
      <c r="M13" s="142">
        <f t="shared" si="0"/>
        <v>1</v>
      </c>
      <c r="N13" s="143">
        <f t="shared" si="1"/>
        <v>2.2222222222222223E-2</v>
      </c>
      <c r="O13" s="242"/>
      <c r="P13" s="244"/>
    </row>
    <row r="14" spans="2:16" ht="20.399999999999999" x14ac:dyDescent="0.5">
      <c r="B14" s="239" t="s">
        <v>122</v>
      </c>
      <c r="C14" s="239" t="s">
        <v>179</v>
      </c>
      <c r="D14" s="144" t="s">
        <v>180</v>
      </c>
      <c r="E14" s="145" t="s">
        <v>181</v>
      </c>
      <c r="F14" s="146"/>
      <c r="G14" s="121"/>
      <c r="H14" s="121"/>
      <c r="I14" s="121"/>
      <c r="J14" s="121"/>
      <c r="K14" s="121"/>
      <c r="L14" s="122"/>
      <c r="M14" s="123">
        <f t="shared" si="0"/>
        <v>0</v>
      </c>
      <c r="N14" s="124">
        <f t="shared" si="1"/>
        <v>0</v>
      </c>
      <c r="O14" s="241">
        <f>SUM(M14:M40)</f>
        <v>17</v>
      </c>
      <c r="P14" s="243">
        <f>O14/O91</f>
        <v>0.37777777777777777</v>
      </c>
    </row>
    <row r="15" spans="2:16" x14ac:dyDescent="0.5">
      <c r="B15" s="246"/>
      <c r="C15" s="246"/>
      <c r="D15" s="147"/>
      <c r="E15" s="148" t="s">
        <v>182</v>
      </c>
      <c r="F15" s="149"/>
      <c r="G15" s="150"/>
      <c r="H15" s="150"/>
      <c r="I15" s="150"/>
      <c r="J15" s="150"/>
      <c r="K15" s="150"/>
      <c r="L15" s="151"/>
      <c r="M15" s="129">
        <f t="shared" si="0"/>
        <v>0</v>
      </c>
      <c r="N15" s="130">
        <f t="shared" si="1"/>
        <v>0</v>
      </c>
      <c r="O15" s="247"/>
      <c r="P15" s="249"/>
    </row>
    <row r="16" spans="2:16" x14ac:dyDescent="0.5">
      <c r="B16" s="246"/>
      <c r="C16" s="246"/>
      <c r="D16" s="152"/>
      <c r="E16" s="153" t="s">
        <v>183</v>
      </c>
      <c r="F16" s="133"/>
      <c r="G16" s="150"/>
      <c r="H16" s="150"/>
      <c r="I16" s="150"/>
      <c r="J16" s="150"/>
      <c r="K16" s="150"/>
      <c r="L16" s="151"/>
      <c r="M16" s="129">
        <f t="shared" si="0"/>
        <v>0</v>
      </c>
      <c r="N16" s="130">
        <f t="shared" si="1"/>
        <v>0</v>
      </c>
      <c r="O16" s="247"/>
      <c r="P16" s="249"/>
    </row>
    <row r="17" spans="2:16" ht="20.399999999999999" x14ac:dyDescent="0.5">
      <c r="B17" s="246"/>
      <c r="C17" s="246"/>
      <c r="D17" s="154" t="s">
        <v>184</v>
      </c>
      <c r="E17" s="155" t="s">
        <v>185</v>
      </c>
      <c r="F17" s="133"/>
      <c r="G17" s="150"/>
      <c r="H17" s="150"/>
      <c r="I17" s="150"/>
      <c r="J17" s="150"/>
      <c r="K17" s="150"/>
      <c r="L17" s="151"/>
      <c r="M17" s="129">
        <f t="shared" si="0"/>
        <v>0</v>
      </c>
      <c r="N17" s="130">
        <f t="shared" si="1"/>
        <v>0</v>
      </c>
      <c r="O17" s="247"/>
      <c r="P17" s="249"/>
    </row>
    <row r="18" spans="2:16" x14ac:dyDescent="0.5">
      <c r="B18" s="246"/>
      <c r="C18" s="246"/>
      <c r="D18" s="156"/>
      <c r="E18" s="148" t="s">
        <v>186</v>
      </c>
      <c r="F18" s="149"/>
      <c r="G18" s="150"/>
      <c r="H18" s="150"/>
      <c r="I18" s="150"/>
      <c r="J18" s="150"/>
      <c r="K18" s="150"/>
      <c r="L18" s="151"/>
      <c r="M18" s="129">
        <f t="shared" si="0"/>
        <v>0</v>
      </c>
      <c r="N18" s="130">
        <f t="shared" si="1"/>
        <v>0</v>
      </c>
      <c r="O18" s="247"/>
      <c r="P18" s="249"/>
    </row>
    <row r="19" spans="2:16" x14ac:dyDescent="0.5">
      <c r="B19" s="246"/>
      <c r="C19" s="246"/>
      <c r="D19" s="147"/>
      <c r="E19" s="148" t="s">
        <v>187</v>
      </c>
      <c r="F19" s="149"/>
      <c r="G19" s="150"/>
      <c r="H19" s="150"/>
      <c r="I19" s="150"/>
      <c r="J19" s="150"/>
      <c r="K19" s="150"/>
      <c r="L19" s="151"/>
      <c r="M19" s="129">
        <f t="shared" si="0"/>
        <v>0</v>
      </c>
      <c r="N19" s="130">
        <f t="shared" si="1"/>
        <v>0</v>
      </c>
      <c r="O19" s="247"/>
      <c r="P19" s="249"/>
    </row>
    <row r="20" spans="2:16" x14ac:dyDescent="0.5">
      <c r="B20" s="246"/>
      <c r="C20" s="246"/>
      <c r="D20" s="147"/>
      <c r="E20" s="148" t="s">
        <v>188</v>
      </c>
      <c r="F20" s="149"/>
      <c r="G20" s="150"/>
      <c r="H20" s="150"/>
      <c r="I20" s="150"/>
      <c r="J20" s="150"/>
      <c r="K20" s="150"/>
      <c r="L20" s="151"/>
      <c r="M20" s="129">
        <f t="shared" si="0"/>
        <v>0</v>
      </c>
      <c r="N20" s="130">
        <f t="shared" si="1"/>
        <v>0</v>
      </c>
      <c r="O20" s="247"/>
      <c r="P20" s="249"/>
    </row>
    <row r="21" spans="2:16" x14ac:dyDescent="0.5">
      <c r="B21" s="246"/>
      <c r="C21" s="246"/>
      <c r="D21" s="147"/>
      <c r="E21" s="148" t="s">
        <v>189</v>
      </c>
      <c r="F21" s="149"/>
      <c r="G21" s="150"/>
      <c r="H21" s="150"/>
      <c r="I21" s="150"/>
      <c r="J21" s="150"/>
      <c r="K21" s="150"/>
      <c r="L21" s="151"/>
      <c r="M21" s="129">
        <f t="shared" si="0"/>
        <v>0</v>
      </c>
      <c r="N21" s="130">
        <f t="shared" si="1"/>
        <v>0</v>
      </c>
      <c r="O21" s="247"/>
      <c r="P21" s="249"/>
    </row>
    <row r="22" spans="2:16" x14ac:dyDescent="0.5">
      <c r="B22" s="246"/>
      <c r="C22" s="246"/>
      <c r="D22" s="147"/>
      <c r="E22" s="148" t="s">
        <v>190</v>
      </c>
      <c r="F22" s="149"/>
      <c r="G22" s="150"/>
      <c r="H22" s="150"/>
      <c r="I22" s="150"/>
      <c r="J22" s="150"/>
      <c r="K22" s="150"/>
      <c r="L22" s="151"/>
      <c r="M22" s="129">
        <f t="shared" si="0"/>
        <v>0</v>
      </c>
      <c r="N22" s="130">
        <f t="shared" si="1"/>
        <v>0</v>
      </c>
      <c r="O22" s="247"/>
      <c r="P22" s="249"/>
    </row>
    <row r="23" spans="2:16" x14ac:dyDescent="0.5">
      <c r="B23" s="246"/>
      <c r="C23" s="246"/>
      <c r="D23" s="147"/>
      <c r="E23" s="148" t="s">
        <v>191</v>
      </c>
      <c r="F23" s="149"/>
      <c r="G23" s="150"/>
      <c r="H23" s="150"/>
      <c r="I23" s="150"/>
      <c r="J23" s="150"/>
      <c r="K23" s="150"/>
      <c r="L23" s="151"/>
      <c r="M23" s="129">
        <f t="shared" si="0"/>
        <v>0</v>
      </c>
      <c r="N23" s="130">
        <f t="shared" si="1"/>
        <v>0</v>
      </c>
      <c r="O23" s="247"/>
      <c r="P23" s="249"/>
    </row>
    <row r="24" spans="2:16" x14ac:dyDescent="0.5">
      <c r="B24" s="246"/>
      <c r="C24" s="246"/>
      <c r="D24" s="147"/>
      <c r="E24" s="148" t="s">
        <v>192</v>
      </c>
      <c r="F24" s="149"/>
      <c r="G24" s="150"/>
      <c r="H24" s="150"/>
      <c r="I24" s="150"/>
      <c r="J24" s="150"/>
      <c r="K24" s="150"/>
      <c r="L24" s="151"/>
      <c r="M24" s="129">
        <f t="shared" si="0"/>
        <v>0</v>
      </c>
      <c r="N24" s="130">
        <f t="shared" si="1"/>
        <v>0</v>
      </c>
      <c r="O24" s="247"/>
      <c r="P24" s="249"/>
    </row>
    <row r="25" spans="2:16" x14ac:dyDescent="0.5">
      <c r="B25" s="246"/>
      <c r="C25" s="246"/>
      <c r="D25" s="147"/>
      <c r="E25" s="148" t="s">
        <v>193</v>
      </c>
      <c r="F25" s="149"/>
      <c r="G25" s="150"/>
      <c r="H25" s="150"/>
      <c r="I25" s="150"/>
      <c r="J25" s="150"/>
      <c r="K25" s="150"/>
      <c r="L25" s="151"/>
      <c r="M25" s="129">
        <f t="shared" si="0"/>
        <v>0</v>
      </c>
      <c r="N25" s="130">
        <f t="shared" si="1"/>
        <v>0</v>
      </c>
      <c r="O25" s="247"/>
      <c r="P25" s="249"/>
    </row>
    <row r="26" spans="2:16" x14ac:dyDescent="0.5">
      <c r="B26" s="246"/>
      <c r="C26" s="246"/>
      <c r="D26" s="147"/>
      <c r="E26" s="148" t="s">
        <v>194</v>
      </c>
      <c r="F26" s="149"/>
      <c r="G26" s="150"/>
      <c r="H26" s="150"/>
      <c r="I26" s="150"/>
      <c r="J26" s="150"/>
      <c r="K26" s="150"/>
      <c r="L26" s="151"/>
      <c r="M26" s="129">
        <f t="shared" si="0"/>
        <v>0</v>
      </c>
      <c r="N26" s="130">
        <f t="shared" si="1"/>
        <v>0</v>
      </c>
      <c r="O26" s="247"/>
      <c r="P26" s="249"/>
    </row>
    <row r="27" spans="2:16" ht="20.399999999999999" x14ac:dyDescent="0.5">
      <c r="B27" s="246"/>
      <c r="C27" s="246"/>
      <c r="D27" s="154" t="s">
        <v>195</v>
      </c>
      <c r="E27" s="155" t="s">
        <v>196</v>
      </c>
      <c r="F27" s="149"/>
      <c r="G27" s="150"/>
      <c r="H27" s="150"/>
      <c r="I27" s="150"/>
      <c r="J27" s="150"/>
      <c r="K27" s="150"/>
      <c r="L27" s="151"/>
      <c r="M27" s="129">
        <f t="shared" si="0"/>
        <v>0</v>
      </c>
      <c r="N27" s="130">
        <f t="shared" si="1"/>
        <v>0</v>
      </c>
      <c r="O27" s="247"/>
      <c r="P27" s="249"/>
    </row>
    <row r="28" spans="2:16" x14ac:dyDescent="0.5">
      <c r="B28" s="246"/>
      <c r="C28" s="246"/>
      <c r="D28" s="156"/>
      <c r="E28" s="148" t="s">
        <v>197</v>
      </c>
      <c r="F28" s="149"/>
      <c r="G28" s="150"/>
      <c r="H28" s="150"/>
      <c r="I28" s="150"/>
      <c r="J28" s="150"/>
      <c r="K28" s="150"/>
      <c r="L28" s="151">
        <v>2</v>
      </c>
      <c r="M28" s="129">
        <f t="shared" si="0"/>
        <v>2</v>
      </c>
      <c r="N28" s="130">
        <f t="shared" si="1"/>
        <v>4.4444444444444446E-2</v>
      </c>
      <c r="O28" s="247"/>
      <c r="P28" s="249"/>
    </row>
    <row r="29" spans="2:16" x14ac:dyDescent="0.5">
      <c r="B29" s="246"/>
      <c r="C29" s="246"/>
      <c r="D29" s="156"/>
      <c r="E29" s="148" t="s">
        <v>198</v>
      </c>
      <c r="F29" s="149"/>
      <c r="G29" s="150"/>
      <c r="H29" s="150"/>
      <c r="I29" s="150"/>
      <c r="J29" s="150"/>
      <c r="K29" s="150"/>
      <c r="L29" s="151">
        <v>6</v>
      </c>
      <c r="M29" s="129">
        <f t="shared" si="0"/>
        <v>6</v>
      </c>
      <c r="N29" s="130">
        <f t="shared" si="1"/>
        <v>0.13333333333333333</v>
      </c>
      <c r="O29" s="247"/>
      <c r="P29" s="249"/>
    </row>
    <row r="30" spans="2:16" ht="20.399999999999999" x14ac:dyDescent="0.5">
      <c r="B30" s="246"/>
      <c r="C30" s="246"/>
      <c r="D30" s="154" t="s">
        <v>199</v>
      </c>
      <c r="E30" s="155" t="s">
        <v>200</v>
      </c>
      <c r="F30" s="149"/>
      <c r="G30" s="150"/>
      <c r="H30" s="150"/>
      <c r="I30" s="150"/>
      <c r="J30" s="150"/>
      <c r="K30" s="150"/>
      <c r="L30" s="151"/>
      <c r="M30" s="129">
        <f t="shared" si="0"/>
        <v>0</v>
      </c>
      <c r="N30" s="130">
        <f t="shared" si="1"/>
        <v>0</v>
      </c>
      <c r="O30" s="247"/>
      <c r="P30" s="249"/>
    </row>
    <row r="31" spans="2:16" ht="20.399999999999999" x14ac:dyDescent="0.5">
      <c r="B31" s="246"/>
      <c r="C31" s="246"/>
      <c r="D31" s="154" t="s">
        <v>201</v>
      </c>
      <c r="E31" s="155" t="s">
        <v>202</v>
      </c>
      <c r="F31" s="149"/>
      <c r="G31" s="150"/>
      <c r="H31" s="150"/>
      <c r="I31" s="150"/>
      <c r="J31" s="150"/>
      <c r="K31" s="150"/>
      <c r="L31" s="151"/>
      <c r="M31" s="129">
        <f t="shared" si="0"/>
        <v>0</v>
      </c>
      <c r="N31" s="130">
        <f t="shared" si="1"/>
        <v>0</v>
      </c>
      <c r="O31" s="247"/>
      <c r="P31" s="249"/>
    </row>
    <row r="32" spans="2:16" x14ac:dyDescent="0.5">
      <c r="B32" s="246"/>
      <c r="C32" s="246"/>
      <c r="D32" s="156"/>
      <c r="E32" s="148" t="s">
        <v>203</v>
      </c>
      <c r="F32" s="149"/>
      <c r="G32" s="150"/>
      <c r="H32" s="150"/>
      <c r="I32" s="150"/>
      <c r="J32" s="150"/>
      <c r="K32" s="150"/>
      <c r="L32" s="151">
        <v>3</v>
      </c>
      <c r="M32" s="129">
        <f t="shared" si="0"/>
        <v>3</v>
      </c>
      <c r="N32" s="130">
        <f t="shared" si="1"/>
        <v>6.6666666666666666E-2</v>
      </c>
      <c r="O32" s="247"/>
      <c r="P32" s="249"/>
    </row>
    <row r="33" spans="2:16" x14ac:dyDescent="0.5">
      <c r="B33" s="246"/>
      <c r="C33" s="246"/>
      <c r="D33" s="156"/>
      <c r="E33" s="148" t="s">
        <v>204</v>
      </c>
      <c r="F33" s="149"/>
      <c r="G33" s="150"/>
      <c r="H33" s="150"/>
      <c r="I33" s="150"/>
      <c r="J33" s="150"/>
      <c r="K33" s="150"/>
      <c r="L33" s="151"/>
      <c r="M33" s="129">
        <f t="shared" si="0"/>
        <v>0</v>
      </c>
      <c r="N33" s="130">
        <f t="shared" si="1"/>
        <v>0</v>
      </c>
      <c r="O33" s="247"/>
      <c r="P33" s="249"/>
    </row>
    <row r="34" spans="2:16" x14ac:dyDescent="0.5">
      <c r="B34" s="246"/>
      <c r="C34" s="246"/>
      <c r="D34" s="156"/>
      <c r="E34" s="148" t="s">
        <v>205</v>
      </c>
      <c r="F34" s="149"/>
      <c r="G34" s="150"/>
      <c r="H34" s="150"/>
      <c r="I34" s="150"/>
      <c r="J34" s="150"/>
      <c r="K34" s="150"/>
      <c r="L34" s="151">
        <v>2</v>
      </c>
      <c r="M34" s="129">
        <f t="shared" si="0"/>
        <v>2</v>
      </c>
      <c r="N34" s="130">
        <f t="shared" si="1"/>
        <v>4.4444444444444446E-2</v>
      </c>
      <c r="O34" s="247"/>
      <c r="P34" s="249"/>
    </row>
    <row r="35" spans="2:16" ht="20.399999999999999" x14ac:dyDescent="0.5">
      <c r="B35" s="246"/>
      <c r="C35" s="246"/>
      <c r="D35" s="154" t="s">
        <v>206</v>
      </c>
      <c r="E35" s="155" t="s">
        <v>207</v>
      </c>
      <c r="F35" s="149"/>
      <c r="G35" s="150"/>
      <c r="H35" s="150"/>
      <c r="I35" s="150"/>
      <c r="J35" s="150"/>
      <c r="K35" s="150"/>
      <c r="L35" s="151"/>
      <c r="M35" s="129">
        <f t="shared" si="0"/>
        <v>0</v>
      </c>
      <c r="N35" s="130">
        <f t="shared" si="1"/>
        <v>0</v>
      </c>
      <c r="O35" s="247"/>
      <c r="P35" s="249"/>
    </row>
    <row r="36" spans="2:16" x14ac:dyDescent="0.5">
      <c r="B36" s="246"/>
      <c r="C36" s="246"/>
      <c r="D36" s="156"/>
      <c r="E36" s="148" t="s">
        <v>208</v>
      </c>
      <c r="F36" s="149"/>
      <c r="G36" s="150"/>
      <c r="H36" s="150"/>
      <c r="I36" s="150"/>
      <c r="J36" s="150"/>
      <c r="K36" s="150"/>
      <c r="L36" s="151">
        <v>4</v>
      </c>
      <c r="M36" s="129">
        <f t="shared" si="0"/>
        <v>4</v>
      </c>
      <c r="N36" s="130">
        <f t="shared" si="1"/>
        <v>8.8888888888888892E-2</v>
      </c>
      <c r="O36" s="247"/>
      <c r="P36" s="249"/>
    </row>
    <row r="37" spans="2:16" x14ac:dyDescent="0.5">
      <c r="B37" s="246"/>
      <c r="C37" s="246"/>
      <c r="D37" s="156"/>
      <c r="E37" s="148" t="s">
        <v>209</v>
      </c>
      <c r="F37" s="149"/>
      <c r="G37" s="150"/>
      <c r="H37" s="150"/>
      <c r="I37" s="150"/>
      <c r="J37" s="150"/>
      <c r="K37" s="150"/>
      <c r="L37" s="151"/>
      <c r="M37" s="129">
        <f t="shared" si="0"/>
        <v>0</v>
      </c>
      <c r="N37" s="130">
        <f t="shared" si="1"/>
        <v>0</v>
      </c>
      <c r="O37" s="247"/>
      <c r="P37" s="249"/>
    </row>
    <row r="38" spans="2:16" x14ac:dyDescent="0.5">
      <c r="B38" s="246"/>
      <c r="C38" s="246"/>
      <c r="D38" s="156"/>
      <c r="E38" s="148" t="s">
        <v>210</v>
      </c>
      <c r="F38" s="149"/>
      <c r="G38" s="150"/>
      <c r="H38" s="150"/>
      <c r="I38" s="150"/>
      <c r="J38" s="150"/>
      <c r="K38" s="150"/>
      <c r="L38" s="151"/>
      <c r="M38" s="129">
        <f t="shared" si="0"/>
        <v>0</v>
      </c>
      <c r="N38" s="130">
        <f t="shared" si="1"/>
        <v>0</v>
      </c>
      <c r="O38" s="247"/>
      <c r="P38" s="249"/>
    </row>
    <row r="39" spans="2:16" x14ac:dyDescent="0.5">
      <c r="B39" s="246"/>
      <c r="C39" s="246"/>
      <c r="D39" s="156"/>
      <c r="E39" s="148" t="s">
        <v>211</v>
      </c>
      <c r="F39" s="149"/>
      <c r="G39" s="150"/>
      <c r="H39" s="150"/>
      <c r="I39" s="150"/>
      <c r="J39" s="150"/>
      <c r="K39" s="150"/>
      <c r="L39" s="151"/>
      <c r="M39" s="129">
        <f t="shared" si="0"/>
        <v>0</v>
      </c>
      <c r="N39" s="130">
        <f t="shared" si="1"/>
        <v>0</v>
      </c>
      <c r="O39" s="247"/>
      <c r="P39" s="249"/>
    </row>
    <row r="40" spans="2:16" x14ac:dyDescent="0.5">
      <c r="B40" s="240"/>
      <c r="C40" s="240"/>
      <c r="D40" s="157"/>
      <c r="E40" s="138" t="s">
        <v>212</v>
      </c>
      <c r="F40" s="139"/>
      <c r="G40" s="140"/>
      <c r="H40" s="140"/>
      <c r="I40" s="140"/>
      <c r="J40" s="140"/>
      <c r="K40" s="140"/>
      <c r="L40" s="141"/>
      <c r="M40" s="142">
        <f t="shared" si="0"/>
        <v>0</v>
      </c>
      <c r="N40" s="143">
        <f t="shared" si="1"/>
        <v>0</v>
      </c>
      <c r="O40" s="242"/>
      <c r="P40" s="244"/>
    </row>
    <row r="41" spans="2:16" ht="20.399999999999999" x14ac:dyDescent="0.5">
      <c r="B41" s="239" t="s">
        <v>130</v>
      </c>
      <c r="C41" s="251" t="s">
        <v>213</v>
      </c>
      <c r="D41" s="158" t="s">
        <v>214</v>
      </c>
      <c r="E41" s="145" t="s">
        <v>215</v>
      </c>
      <c r="F41" s="149"/>
      <c r="G41" s="150"/>
      <c r="H41" s="150"/>
      <c r="I41" s="150"/>
      <c r="J41" s="150"/>
      <c r="K41" s="150"/>
      <c r="L41" s="151"/>
      <c r="M41" s="123">
        <f t="shared" si="0"/>
        <v>0</v>
      </c>
      <c r="N41" s="124">
        <f t="shared" si="1"/>
        <v>0</v>
      </c>
      <c r="O41" s="241">
        <f>SUM(M41:M58)</f>
        <v>0</v>
      </c>
      <c r="P41" s="243">
        <f>O41/O91</f>
        <v>0</v>
      </c>
    </row>
    <row r="42" spans="2:16" ht="20.399999999999999" x14ac:dyDescent="0.5">
      <c r="B42" s="246"/>
      <c r="C42" s="252"/>
      <c r="D42" s="159" t="s">
        <v>216</v>
      </c>
      <c r="E42" s="155" t="s">
        <v>217</v>
      </c>
      <c r="F42" s="149"/>
      <c r="G42" s="150"/>
      <c r="H42" s="150"/>
      <c r="I42" s="150"/>
      <c r="J42" s="150"/>
      <c r="K42" s="150"/>
      <c r="L42" s="151"/>
      <c r="M42" s="129">
        <f t="shared" si="0"/>
        <v>0</v>
      </c>
      <c r="N42" s="160">
        <f t="shared" si="1"/>
        <v>0</v>
      </c>
      <c r="O42" s="247"/>
      <c r="P42" s="249"/>
    </row>
    <row r="43" spans="2:16" ht="20.399999999999999" x14ac:dyDescent="0.5">
      <c r="B43" s="246"/>
      <c r="C43" s="252"/>
      <c r="D43" s="159" t="s">
        <v>218</v>
      </c>
      <c r="E43" s="155" t="s">
        <v>219</v>
      </c>
      <c r="F43" s="149"/>
      <c r="G43" s="150"/>
      <c r="H43" s="150"/>
      <c r="I43" s="150"/>
      <c r="J43" s="150"/>
      <c r="K43" s="150"/>
      <c r="L43" s="151"/>
      <c r="M43" s="129">
        <f t="shared" si="0"/>
        <v>0</v>
      </c>
      <c r="N43" s="160">
        <f t="shared" si="1"/>
        <v>0</v>
      </c>
      <c r="O43" s="247"/>
      <c r="P43" s="249"/>
    </row>
    <row r="44" spans="2:16" x14ac:dyDescent="0.5">
      <c r="B44" s="246"/>
      <c r="C44" s="252"/>
      <c r="D44" s="161"/>
      <c r="E44" s="148" t="s">
        <v>220</v>
      </c>
      <c r="F44" s="149"/>
      <c r="G44" s="150"/>
      <c r="H44" s="150"/>
      <c r="I44" s="150"/>
      <c r="J44" s="150"/>
      <c r="K44" s="150"/>
      <c r="L44" s="151"/>
      <c r="M44" s="129">
        <f t="shared" si="0"/>
        <v>0</v>
      </c>
      <c r="N44" s="160">
        <f t="shared" si="1"/>
        <v>0</v>
      </c>
      <c r="O44" s="247"/>
      <c r="P44" s="249"/>
    </row>
    <row r="45" spans="2:16" x14ac:dyDescent="0.5">
      <c r="B45" s="246"/>
      <c r="C45" s="252"/>
      <c r="D45" s="161"/>
      <c r="E45" s="148" t="s">
        <v>221</v>
      </c>
      <c r="F45" s="149"/>
      <c r="G45" s="150"/>
      <c r="H45" s="150"/>
      <c r="I45" s="150"/>
      <c r="J45" s="150"/>
      <c r="K45" s="150"/>
      <c r="L45" s="151"/>
      <c r="M45" s="129">
        <f t="shared" si="0"/>
        <v>0</v>
      </c>
      <c r="N45" s="160">
        <f t="shared" si="1"/>
        <v>0</v>
      </c>
      <c r="O45" s="247"/>
      <c r="P45" s="249"/>
    </row>
    <row r="46" spans="2:16" x14ac:dyDescent="0.5">
      <c r="B46" s="246"/>
      <c r="C46" s="252"/>
      <c r="D46" s="161"/>
      <c r="E46" s="148" t="s">
        <v>222</v>
      </c>
      <c r="F46" s="149"/>
      <c r="G46" s="150"/>
      <c r="H46" s="150"/>
      <c r="I46" s="150"/>
      <c r="J46" s="150"/>
      <c r="K46" s="150"/>
      <c r="L46" s="151"/>
      <c r="M46" s="129">
        <f t="shared" si="0"/>
        <v>0</v>
      </c>
      <c r="N46" s="160">
        <f t="shared" si="1"/>
        <v>0</v>
      </c>
      <c r="O46" s="247"/>
      <c r="P46" s="249"/>
    </row>
    <row r="47" spans="2:16" x14ac:dyDescent="0.5">
      <c r="B47" s="246"/>
      <c r="C47" s="252"/>
      <c r="D47" s="161"/>
      <c r="E47" s="148" t="s">
        <v>223</v>
      </c>
      <c r="F47" s="149"/>
      <c r="G47" s="150"/>
      <c r="H47" s="150"/>
      <c r="I47" s="150"/>
      <c r="J47" s="150"/>
      <c r="K47" s="150"/>
      <c r="L47" s="151"/>
      <c r="M47" s="129">
        <f t="shared" si="0"/>
        <v>0</v>
      </c>
      <c r="N47" s="160">
        <f t="shared" si="1"/>
        <v>0</v>
      </c>
      <c r="O47" s="247"/>
      <c r="P47" s="249"/>
    </row>
    <row r="48" spans="2:16" ht="20.399999999999999" x14ac:dyDescent="0.5">
      <c r="B48" s="246"/>
      <c r="C48" s="252"/>
      <c r="D48" s="159" t="s">
        <v>224</v>
      </c>
      <c r="E48" s="155" t="s">
        <v>225</v>
      </c>
      <c r="F48" s="149"/>
      <c r="G48" s="150"/>
      <c r="H48" s="150"/>
      <c r="I48" s="150"/>
      <c r="J48" s="150"/>
      <c r="K48" s="150"/>
      <c r="L48" s="151"/>
      <c r="M48" s="129">
        <f t="shared" si="0"/>
        <v>0</v>
      </c>
      <c r="N48" s="160">
        <f t="shared" si="1"/>
        <v>0</v>
      </c>
      <c r="O48" s="247"/>
      <c r="P48" s="249"/>
    </row>
    <row r="49" spans="2:16" ht="20.399999999999999" x14ac:dyDescent="0.5">
      <c r="B49" s="246"/>
      <c r="C49" s="252"/>
      <c r="D49" s="159" t="s">
        <v>226</v>
      </c>
      <c r="E49" s="155" t="s">
        <v>227</v>
      </c>
      <c r="F49" s="149"/>
      <c r="G49" s="150"/>
      <c r="H49" s="150"/>
      <c r="I49" s="150"/>
      <c r="J49" s="150"/>
      <c r="K49" s="150"/>
      <c r="L49" s="151"/>
      <c r="M49" s="129">
        <f t="shared" si="0"/>
        <v>0</v>
      </c>
      <c r="N49" s="160">
        <f t="shared" si="1"/>
        <v>0</v>
      </c>
      <c r="O49" s="247"/>
      <c r="P49" s="249"/>
    </row>
    <row r="50" spans="2:16" x14ac:dyDescent="0.5">
      <c r="B50" s="246"/>
      <c r="C50" s="252"/>
      <c r="D50" s="161"/>
      <c r="E50" s="148" t="s">
        <v>228</v>
      </c>
      <c r="F50" s="149"/>
      <c r="G50" s="150"/>
      <c r="H50" s="150"/>
      <c r="I50" s="150"/>
      <c r="J50" s="150"/>
      <c r="K50" s="150"/>
      <c r="L50" s="151"/>
      <c r="M50" s="129">
        <f t="shared" si="0"/>
        <v>0</v>
      </c>
      <c r="N50" s="160">
        <f t="shared" si="1"/>
        <v>0</v>
      </c>
      <c r="O50" s="247"/>
      <c r="P50" s="249"/>
    </row>
    <row r="51" spans="2:16" x14ac:dyDescent="0.5">
      <c r="B51" s="246"/>
      <c r="C51" s="252"/>
      <c r="D51" s="161"/>
      <c r="E51" s="148" t="s">
        <v>229</v>
      </c>
      <c r="F51" s="149"/>
      <c r="G51" s="150"/>
      <c r="H51" s="150"/>
      <c r="I51" s="150"/>
      <c r="J51" s="150"/>
      <c r="K51" s="150"/>
      <c r="L51" s="151"/>
      <c r="M51" s="129">
        <f t="shared" si="0"/>
        <v>0</v>
      </c>
      <c r="N51" s="160">
        <f t="shared" si="1"/>
        <v>0</v>
      </c>
      <c r="O51" s="247"/>
      <c r="P51" s="249"/>
    </row>
    <row r="52" spans="2:16" ht="20.399999999999999" x14ac:dyDescent="0.5">
      <c r="B52" s="246"/>
      <c r="C52" s="252"/>
      <c r="D52" s="159" t="s">
        <v>230</v>
      </c>
      <c r="E52" s="155" t="s">
        <v>231</v>
      </c>
      <c r="F52" s="149"/>
      <c r="G52" s="150"/>
      <c r="H52" s="150"/>
      <c r="I52" s="150"/>
      <c r="J52" s="150"/>
      <c r="K52" s="150"/>
      <c r="L52" s="151"/>
      <c r="M52" s="129">
        <f t="shared" si="0"/>
        <v>0</v>
      </c>
      <c r="N52" s="160">
        <f t="shared" si="1"/>
        <v>0</v>
      </c>
      <c r="O52" s="247"/>
      <c r="P52" s="249"/>
    </row>
    <row r="53" spans="2:16" x14ac:dyDescent="0.5">
      <c r="B53" s="246"/>
      <c r="C53" s="252"/>
      <c r="D53" s="161"/>
      <c r="E53" s="148" t="s">
        <v>232</v>
      </c>
      <c r="F53" s="149"/>
      <c r="G53" s="150"/>
      <c r="H53" s="150"/>
      <c r="I53" s="150"/>
      <c r="J53" s="150"/>
      <c r="K53" s="150"/>
      <c r="L53" s="151"/>
      <c r="M53" s="129">
        <f t="shared" si="0"/>
        <v>0</v>
      </c>
      <c r="N53" s="160">
        <f t="shared" si="1"/>
        <v>0</v>
      </c>
      <c r="O53" s="247"/>
      <c r="P53" s="249"/>
    </row>
    <row r="54" spans="2:16" x14ac:dyDescent="0.5">
      <c r="B54" s="246"/>
      <c r="C54" s="252"/>
      <c r="D54" s="161"/>
      <c r="E54" s="148" t="s">
        <v>233</v>
      </c>
      <c r="F54" s="149"/>
      <c r="G54" s="150"/>
      <c r="H54" s="150"/>
      <c r="I54" s="150"/>
      <c r="J54" s="150"/>
      <c r="K54" s="150"/>
      <c r="L54" s="151"/>
      <c r="M54" s="129">
        <f t="shared" si="0"/>
        <v>0</v>
      </c>
      <c r="N54" s="160">
        <f t="shared" si="1"/>
        <v>0</v>
      </c>
      <c r="O54" s="247"/>
      <c r="P54" s="249"/>
    </row>
    <row r="55" spans="2:16" ht="20.399999999999999" x14ac:dyDescent="0.5">
      <c r="B55" s="246"/>
      <c r="C55" s="252"/>
      <c r="D55" s="159" t="s">
        <v>234</v>
      </c>
      <c r="E55" s="155" t="s">
        <v>235</v>
      </c>
      <c r="F55" s="149"/>
      <c r="G55" s="150"/>
      <c r="H55" s="150"/>
      <c r="I55" s="150"/>
      <c r="J55" s="150"/>
      <c r="K55" s="150"/>
      <c r="L55" s="151"/>
      <c r="M55" s="129">
        <f t="shared" si="0"/>
        <v>0</v>
      </c>
      <c r="N55" s="160">
        <f t="shared" si="1"/>
        <v>0</v>
      </c>
      <c r="O55" s="247"/>
      <c r="P55" s="249"/>
    </row>
    <row r="56" spans="2:16" x14ac:dyDescent="0.5">
      <c r="B56" s="246"/>
      <c r="C56" s="252"/>
      <c r="D56" s="161"/>
      <c r="E56" s="148" t="s">
        <v>236</v>
      </c>
      <c r="F56" s="149"/>
      <c r="G56" s="150"/>
      <c r="H56" s="150"/>
      <c r="I56" s="150"/>
      <c r="J56" s="150"/>
      <c r="K56" s="150"/>
      <c r="L56" s="151"/>
      <c r="M56" s="129">
        <f t="shared" si="0"/>
        <v>0</v>
      </c>
      <c r="N56" s="160">
        <f t="shared" si="1"/>
        <v>0</v>
      </c>
      <c r="O56" s="247"/>
      <c r="P56" s="249"/>
    </row>
    <row r="57" spans="2:16" x14ac:dyDescent="0.5">
      <c r="B57" s="246"/>
      <c r="C57" s="252"/>
      <c r="D57" s="161"/>
      <c r="E57" s="148" t="s">
        <v>237</v>
      </c>
      <c r="F57" s="149"/>
      <c r="G57" s="150"/>
      <c r="H57" s="150"/>
      <c r="I57" s="150"/>
      <c r="J57" s="150"/>
      <c r="K57" s="150"/>
      <c r="L57" s="151"/>
      <c r="M57" s="129">
        <f t="shared" si="0"/>
        <v>0</v>
      </c>
      <c r="N57" s="130">
        <f t="shared" si="1"/>
        <v>0</v>
      </c>
      <c r="O57" s="248"/>
      <c r="P57" s="250"/>
    </row>
    <row r="58" spans="2:16" x14ac:dyDescent="0.5">
      <c r="B58" s="246"/>
      <c r="C58" s="252"/>
      <c r="D58" s="161"/>
      <c r="E58" s="138" t="s">
        <v>238</v>
      </c>
      <c r="F58" s="162"/>
      <c r="G58" s="163"/>
      <c r="H58" s="163"/>
      <c r="I58" s="163"/>
      <c r="J58" s="163"/>
      <c r="K58" s="163"/>
      <c r="L58" s="164"/>
      <c r="M58" s="142">
        <f t="shared" si="0"/>
        <v>0</v>
      </c>
      <c r="N58" s="143">
        <f t="shared" si="1"/>
        <v>0</v>
      </c>
      <c r="O58" s="242"/>
      <c r="P58" s="244"/>
    </row>
    <row r="59" spans="2:16" ht="20.399999999999999" x14ac:dyDescent="0.5">
      <c r="B59" s="251" t="s">
        <v>159</v>
      </c>
      <c r="C59" s="251" t="s">
        <v>239</v>
      </c>
      <c r="D59" s="144" t="s">
        <v>240</v>
      </c>
      <c r="E59" s="145" t="s">
        <v>241</v>
      </c>
      <c r="F59" s="146"/>
      <c r="G59" s="121"/>
      <c r="H59" s="121"/>
      <c r="I59" s="121"/>
      <c r="J59" s="121"/>
      <c r="K59" s="121"/>
      <c r="L59" s="122"/>
      <c r="M59" s="123">
        <f t="shared" si="0"/>
        <v>0</v>
      </c>
      <c r="N59" s="124">
        <f t="shared" si="1"/>
        <v>0</v>
      </c>
      <c r="O59" s="241">
        <f>SUM(M59:M68)</f>
        <v>7</v>
      </c>
      <c r="P59" s="243">
        <f>O59/O91</f>
        <v>0.15555555555555556</v>
      </c>
    </row>
    <row r="60" spans="2:16" ht="20.399999999999999" x14ac:dyDescent="0.5">
      <c r="B60" s="252"/>
      <c r="C60" s="252"/>
      <c r="D60" s="165" t="s">
        <v>242</v>
      </c>
      <c r="E60" s="155" t="s">
        <v>243</v>
      </c>
      <c r="F60" s="149"/>
      <c r="G60" s="150"/>
      <c r="H60" s="150"/>
      <c r="I60" s="150"/>
      <c r="J60" s="150"/>
      <c r="K60" s="150"/>
      <c r="L60" s="151"/>
      <c r="M60" s="129">
        <f t="shared" si="0"/>
        <v>0</v>
      </c>
      <c r="N60" s="130">
        <f t="shared" si="1"/>
        <v>0</v>
      </c>
      <c r="O60" s="248"/>
      <c r="P60" s="250"/>
    </row>
    <row r="61" spans="2:16" x14ac:dyDescent="0.5">
      <c r="B61" s="252"/>
      <c r="C61" s="252"/>
      <c r="D61" s="161"/>
      <c r="E61" s="148" t="s">
        <v>244</v>
      </c>
      <c r="F61" s="149"/>
      <c r="G61" s="150"/>
      <c r="H61" s="150"/>
      <c r="I61" s="150"/>
      <c r="J61" s="150"/>
      <c r="K61" s="150"/>
      <c r="L61" s="151"/>
      <c r="M61" s="129">
        <f t="shared" si="0"/>
        <v>0</v>
      </c>
      <c r="N61" s="130">
        <f t="shared" si="1"/>
        <v>0</v>
      </c>
      <c r="O61" s="248"/>
      <c r="P61" s="250"/>
    </row>
    <row r="62" spans="2:16" x14ac:dyDescent="0.5">
      <c r="B62" s="252"/>
      <c r="C62" s="252"/>
      <c r="D62" s="161"/>
      <c r="E62" s="148" t="s">
        <v>245</v>
      </c>
      <c r="F62" s="149"/>
      <c r="G62" s="150"/>
      <c r="H62" s="150"/>
      <c r="I62" s="150"/>
      <c r="J62" s="150"/>
      <c r="K62" s="150"/>
      <c r="L62" s="151"/>
      <c r="M62" s="129">
        <f t="shared" si="0"/>
        <v>0</v>
      </c>
      <c r="N62" s="130">
        <f t="shared" si="1"/>
        <v>0</v>
      </c>
      <c r="O62" s="248"/>
      <c r="P62" s="250"/>
    </row>
    <row r="63" spans="2:16" ht="20.399999999999999" x14ac:dyDescent="0.5">
      <c r="B63" s="252"/>
      <c r="C63" s="252"/>
      <c r="D63" s="165" t="s">
        <v>246</v>
      </c>
      <c r="E63" s="155" t="s">
        <v>247</v>
      </c>
      <c r="F63" s="149"/>
      <c r="G63" s="150"/>
      <c r="H63" s="150"/>
      <c r="I63" s="150"/>
      <c r="J63" s="150"/>
      <c r="K63" s="150"/>
      <c r="L63" s="151"/>
      <c r="M63" s="129">
        <f t="shared" si="0"/>
        <v>0</v>
      </c>
      <c r="N63" s="130">
        <f t="shared" si="1"/>
        <v>0</v>
      </c>
      <c r="O63" s="248"/>
      <c r="P63" s="250"/>
    </row>
    <row r="64" spans="2:16" x14ac:dyDescent="0.5">
      <c r="B64" s="252"/>
      <c r="C64" s="252"/>
      <c r="D64" s="161"/>
      <c r="E64" s="148" t="s">
        <v>248</v>
      </c>
      <c r="F64" s="149"/>
      <c r="G64" s="150"/>
      <c r="H64" s="150"/>
      <c r="I64" s="150"/>
      <c r="J64" s="150"/>
      <c r="K64" s="150"/>
      <c r="L64" s="151">
        <v>2</v>
      </c>
      <c r="M64" s="129">
        <f t="shared" si="0"/>
        <v>2</v>
      </c>
      <c r="N64" s="130">
        <f t="shared" si="1"/>
        <v>4.4444444444444446E-2</v>
      </c>
      <c r="O64" s="248"/>
      <c r="P64" s="250"/>
    </row>
    <row r="65" spans="2:16" x14ac:dyDescent="0.5">
      <c r="B65" s="252"/>
      <c r="C65" s="252"/>
      <c r="D65" s="161"/>
      <c r="E65" s="148" t="s">
        <v>249</v>
      </c>
      <c r="F65" s="149"/>
      <c r="G65" s="150"/>
      <c r="H65" s="150"/>
      <c r="I65" s="150"/>
      <c r="J65" s="150"/>
      <c r="K65" s="150"/>
      <c r="L65" s="151">
        <v>5</v>
      </c>
      <c r="M65" s="129">
        <f t="shared" si="0"/>
        <v>5</v>
      </c>
      <c r="N65" s="130">
        <f t="shared" si="1"/>
        <v>0.1111111111111111</v>
      </c>
      <c r="O65" s="248"/>
      <c r="P65" s="250"/>
    </row>
    <row r="66" spans="2:16" ht="20.399999999999999" x14ac:dyDescent="0.5">
      <c r="B66" s="252"/>
      <c r="C66" s="252"/>
      <c r="D66" s="165" t="s">
        <v>250</v>
      </c>
      <c r="E66" s="155" t="s">
        <v>251</v>
      </c>
      <c r="F66" s="149"/>
      <c r="G66" s="150"/>
      <c r="H66" s="150"/>
      <c r="I66" s="150"/>
      <c r="J66" s="150"/>
      <c r="K66" s="150"/>
      <c r="L66" s="151"/>
      <c r="M66" s="129">
        <f t="shared" si="0"/>
        <v>0</v>
      </c>
      <c r="N66" s="130">
        <f t="shared" si="1"/>
        <v>0</v>
      </c>
      <c r="O66" s="248"/>
      <c r="P66" s="250"/>
    </row>
    <row r="67" spans="2:16" ht="20.399999999999999" x14ac:dyDescent="0.5">
      <c r="B67" s="252"/>
      <c r="C67" s="252"/>
      <c r="D67" s="165" t="s">
        <v>252</v>
      </c>
      <c r="E67" s="155" t="s">
        <v>253</v>
      </c>
      <c r="F67" s="149"/>
      <c r="G67" s="150"/>
      <c r="H67" s="150"/>
      <c r="I67" s="150"/>
      <c r="J67" s="150"/>
      <c r="K67" s="150"/>
      <c r="L67" s="151"/>
      <c r="M67" s="129">
        <f t="shared" si="0"/>
        <v>0</v>
      </c>
      <c r="N67" s="130">
        <f t="shared" si="1"/>
        <v>0</v>
      </c>
      <c r="O67" s="248"/>
      <c r="P67" s="250"/>
    </row>
    <row r="68" spans="2:16" ht="20.399999999999999" x14ac:dyDescent="0.5">
      <c r="B68" s="253"/>
      <c r="C68" s="253"/>
      <c r="D68" s="166" t="s">
        <v>254</v>
      </c>
      <c r="E68" s="167" t="s">
        <v>255</v>
      </c>
      <c r="F68" s="168"/>
      <c r="G68" s="169"/>
      <c r="H68" s="169"/>
      <c r="I68" s="169"/>
      <c r="J68" s="169"/>
      <c r="K68" s="169"/>
      <c r="L68" s="170"/>
      <c r="M68" s="142">
        <f t="shared" si="0"/>
        <v>0</v>
      </c>
      <c r="N68" s="143">
        <f t="shared" si="1"/>
        <v>0</v>
      </c>
      <c r="O68" s="242"/>
      <c r="P68" s="244"/>
    </row>
    <row r="69" spans="2:16" ht="20.399999999999999" x14ac:dyDescent="0.5">
      <c r="B69" s="239" t="s">
        <v>160</v>
      </c>
      <c r="C69" s="239" t="s">
        <v>256</v>
      </c>
      <c r="D69" s="171" t="s">
        <v>257</v>
      </c>
      <c r="E69" s="145" t="s">
        <v>258</v>
      </c>
      <c r="F69" s="146"/>
      <c r="G69" s="121"/>
      <c r="H69" s="121"/>
      <c r="I69" s="121"/>
      <c r="J69" s="121"/>
      <c r="K69" s="121"/>
      <c r="L69" s="122"/>
      <c r="M69" s="123">
        <f t="shared" si="0"/>
        <v>0</v>
      </c>
      <c r="N69" s="124">
        <f t="shared" si="1"/>
        <v>0</v>
      </c>
      <c r="O69" s="241">
        <f>SUM(M69:M73)</f>
        <v>0</v>
      </c>
      <c r="P69" s="243">
        <f>O69/O91</f>
        <v>0</v>
      </c>
    </row>
    <row r="70" spans="2:16" ht="20.399999999999999" x14ac:dyDescent="0.5">
      <c r="B70" s="246"/>
      <c r="C70" s="246"/>
      <c r="D70" s="172" t="s">
        <v>259</v>
      </c>
      <c r="E70" s="155" t="s">
        <v>260</v>
      </c>
      <c r="F70" s="149"/>
      <c r="G70" s="150"/>
      <c r="H70" s="150"/>
      <c r="I70" s="150"/>
      <c r="J70" s="150"/>
      <c r="K70" s="150"/>
      <c r="L70" s="151"/>
      <c r="M70" s="129">
        <f t="shared" ref="M70:M90" si="2">SUM(F70:L70)</f>
        <v>0</v>
      </c>
      <c r="N70" s="130">
        <f t="shared" ref="N70:N90" si="3">M70/$M$91</f>
        <v>0</v>
      </c>
      <c r="O70" s="247"/>
      <c r="P70" s="249"/>
    </row>
    <row r="71" spans="2:16" ht="20.399999999999999" x14ac:dyDescent="0.5">
      <c r="B71" s="246"/>
      <c r="C71" s="246"/>
      <c r="D71" s="172" t="s">
        <v>261</v>
      </c>
      <c r="E71" s="155" t="s">
        <v>262</v>
      </c>
      <c r="F71" s="149"/>
      <c r="G71" s="150"/>
      <c r="H71" s="150"/>
      <c r="I71" s="150"/>
      <c r="J71" s="150"/>
      <c r="K71" s="150"/>
      <c r="L71" s="151"/>
      <c r="M71" s="129">
        <f t="shared" si="2"/>
        <v>0</v>
      </c>
      <c r="N71" s="130">
        <f t="shared" si="3"/>
        <v>0</v>
      </c>
      <c r="O71" s="248"/>
      <c r="P71" s="250"/>
    </row>
    <row r="72" spans="2:16" ht="20.399999999999999" x14ac:dyDescent="0.5">
      <c r="B72" s="246"/>
      <c r="C72" s="246"/>
      <c r="D72" s="172" t="s">
        <v>263</v>
      </c>
      <c r="E72" s="173" t="s">
        <v>264</v>
      </c>
      <c r="F72" s="149"/>
      <c r="G72" s="150"/>
      <c r="H72" s="150"/>
      <c r="I72" s="150"/>
      <c r="J72" s="150"/>
      <c r="K72" s="150"/>
      <c r="L72" s="151"/>
      <c r="M72" s="129">
        <f t="shared" si="2"/>
        <v>0</v>
      </c>
      <c r="N72" s="130">
        <f t="shared" si="3"/>
        <v>0</v>
      </c>
      <c r="O72" s="248"/>
      <c r="P72" s="250"/>
    </row>
    <row r="73" spans="2:16" ht="20.399999999999999" x14ac:dyDescent="0.5">
      <c r="B73" s="240"/>
      <c r="C73" s="240"/>
      <c r="D73" s="174" t="s">
        <v>265</v>
      </c>
      <c r="E73" s="167" t="s">
        <v>266</v>
      </c>
      <c r="F73" s="139"/>
      <c r="G73" s="140"/>
      <c r="H73" s="140"/>
      <c r="I73" s="140"/>
      <c r="J73" s="140"/>
      <c r="K73" s="140"/>
      <c r="L73" s="141"/>
      <c r="M73" s="142">
        <f t="shared" si="2"/>
        <v>0</v>
      </c>
      <c r="N73" s="143">
        <f t="shared" si="3"/>
        <v>0</v>
      </c>
      <c r="O73" s="242"/>
      <c r="P73" s="244"/>
    </row>
    <row r="74" spans="2:16" ht="20.399999999999999" x14ac:dyDescent="0.5">
      <c r="B74" s="239" t="s">
        <v>267</v>
      </c>
      <c r="C74" s="239" t="s">
        <v>268</v>
      </c>
      <c r="D74" s="171" t="s">
        <v>269</v>
      </c>
      <c r="E74" s="145" t="s">
        <v>270</v>
      </c>
      <c r="F74" s="146"/>
      <c r="G74" s="121"/>
      <c r="H74" s="121"/>
      <c r="I74" s="121"/>
      <c r="J74" s="121"/>
      <c r="K74" s="121"/>
      <c r="L74" s="175"/>
      <c r="M74" s="176">
        <f t="shared" si="2"/>
        <v>0</v>
      </c>
      <c r="N74" s="124">
        <f t="shared" si="3"/>
        <v>0</v>
      </c>
      <c r="O74" s="241">
        <f>SUM(M74:M86)</f>
        <v>0</v>
      </c>
      <c r="P74" s="243">
        <f>O74/O91</f>
        <v>0</v>
      </c>
    </row>
    <row r="75" spans="2:16" x14ac:dyDescent="0.5">
      <c r="B75" s="246"/>
      <c r="C75" s="246"/>
      <c r="D75" s="177"/>
      <c r="E75" s="178" t="s">
        <v>271</v>
      </c>
      <c r="F75" s="149"/>
      <c r="G75" s="150"/>
      <c r="H75" s="150"/>
      <c r="I75" s="150"/>
      <c r="J75" s="150"/>
      <c r="K75" s="150"/>
      <c r="L75" s="179"/>
      <c r="M75" s="129">
        <f t="shared" si="2"/>
        <v>0</v>
      </c>
      <c r="N75" s="130">
        <f t="shared" si="3"/>
        <v>0</v>
      </c>
      <c r="O75" s="247"/>
      <c r="P75" s="249"/>
    </row>
    <row r="76" spans="2:16" x14ac:dyDescent="0.5">
      <c r="B76" s="246"/>
      <c r="C76" s="246"/>
      <c r="D76" s="177"/>
      <c r="E76" s="178" t="s">
        <v>272</v>
      </c>
      <c r="F76" s="149"/>
      <c r="G76" s="150"/>
      <c r="H76" s="150"/>
      <c r="I76" s="150"/>
      <c r="J76" s="150"/>
      <c r="K76" s="150"/>
      <c r="L76" s="179"/>
      <c r="M76" s="129">
        <f t="shared" si="2"/>
        <v>0</v>
      </c>
      <c r="N76" s="130">
        <f t="shared" si="3"/>
        <v>0</v>
      </c>
      <c r="O76" s="247"/>
      <c r="P76" s="249"/>
    </row>
    <row r="77" spans="2:16" ht="20.399999999999999" x14ac:dyDescent="0.5">
      <c r="B77" s="246"/>
      <c r="C77" s="246"/>
      <c r="D77" s="172" t="s">
        <v>273</v>
      </c>
      <c r="E77" s="155" t="s">
        <v>274</v>
      </c>
      <c r="F77" s="149"/>
      <c r="G77" s="150"/>
      <c r="H77" s="150"/>
      <c r="I77" s="150"/>
      <c r="J77" s="150"/>
      <c r="K77" s="150"/>
      <c r="L77" s="179"/>
      <c r="M77" s="129">
        <f t="shared" si="2"/>
        <v>0</v>
      </c>
      <c r="N77" s="130">
        <f t="shared" si="3"/>
        <v>0</v>
      </c>
      <c r="O77" s="247"/>
      <c r="P77" s="249"/>
    </row>
    <row r="78" spans="2:16" x14ac:dyDescent="0.5">
      <c r="B78" s="246"/>
      <c r="C78" s="246"/>
      <c r="D78" s="180"/>
      <c r="E78" s="132" t="s">
        <v>275</v>
      </c>
      <c r="F78" s="149"/>
      <c r="G78" s="150"/>
      <c r="H78" s="150"/>
      <c r="I78" s="150"/>
      <c r="J78" s="150"/>
      <c r="K78" s="150"/>
      <c r="L78" s="179"/>
      <c r="M78" s="129">
        <f t="shared" si="2"/>
        <v>0</v>
      </c>
      <c r="N78" s="130">
        <f t="shared" si="3"/>
        <v>0</v>
      </c>
      <c r="O78" s="247"/>
      <c r="P78" s="249"/>
    </row>
    <row r="79" spans="2:16" x14ac:dyDescent="0.5">
      <c r="B79" s="246"/>
      <c r="C79" s="246"/>
      <c r="D79" s="180"/>
      <c r="E79" s="132" t="s">
        <v>276</v>
      </c>
      <c r="F79" s="149"/>
      <c r="G79" s="150"/>
      <c r="H79" s="150"/>
      <c r="I79" s="150"/>
      <c r="J79" s="150"/>
      <c r="K79" s="150"/>
      <c r="L79" s="179"/>
      <c r="M79" s="129">
        <f t="shared" si="2"/>
        <v>0</v>
      </c>
      <c r="N79" s="130">
        <f t="shared" si="3"/>
        <v>0</v>
      </c>
      <c r="O79" s="247"/>
      <c r="P79" s="249"/>
    </row>
    <row r="80" spans="2:16" ht="20.399999999999999" x14ac:dyDescent="0.5">
      <c r="B80" s="246"/>
      <c r="C80" s="246"/>
      <c r="D80" s="172" t="s">
        <v>277</v>
      </c>
      <c r="E80" s="155" t="s">
        <v>278</v>
      </c>
      <c r="F80" s="149"/>
      <c r="G80" s="150"/>
      <c r="H80" s="150"/>
      <c r="I80" s="150"/>
      <c r="J80" s="150"/>
      <c r="K80" s="150"/>
      <c r="L80" s="179"/>
      <c r="M80" s="129">
        <f t="shared" si="2"/>
        <v>0</v>
      </c>
      <c r="N80" s="130">
        <f t="shared" si="3"/>
        <v>0</v>
      </c>
      <c r="O80" s="247"/>
      <c r="P80" s="249"/>
    </row>
    <row r="81" spans="2:16" x14ac:dyDescent="0.5">
      <c r="B81" s="246"/>
      <c r="C81" s="246"/>
      <c r="D81" s="181"/>
      <c r="E81" s="182" t="s">
        <v>279</v>
      </c>
      <c r="F81" s="149"/>
      <c r="G81" s="150"/>
      <c r="H81" s="150"/>
      <c r="I81" s="150"/>
      <c r="J81" s="150"/>
      <c r="K81" s="150"/>
      <c r="L81" s="179"/>
      <c r="M81" s="129">
        <f t="shared" si="2"/>
        <v>0</v>
      </c>
      <c r="N81" s="130">
        <f t="shared" si="3"/>
        <v>0</v>
      </c>
      <c r="O81" s="247"/>
      <c r="P81" s="249"/>
    </row>
    <row r="82" spans="2:16" x14ac:dyDescent="0.5">
      <c r="B82" s="246"/>
      <c r="C82" s="246"/>
      <c r="D82" s="181"/>
      <c r="E82" s="182" t="s">
        <v>280</v>
      </c>
      <c r="F82" s="149"/>
      <c r="G82" s="150"/>
      <c r="H82" s="150"/>
      <c r="I82" s="150"/>
      <c r="J82" s="150"/>
      <c r="K82" s="150"/>
      <c r="L82" s="179"/>
      <c r="M82" s="129">
        <f t="shared" si="2"/>
        <v>0</v>
      </c>
      <c r="N82" s="130">
        <f t="shared" si="3"/>
        <v>0</v>
      </c>
      <c r="O82" s="247"/>
      <c r="P82" s="249"/>
    </row>
    <row r="83" spans="2:16" x14ac:dyDescent="0.5">
      <c r="B83" s="246"/>
      <c r="C83" s="246"/>
      <c r="D83" s="181"/>
      <c r="E83" s="182" t="s">
        <v>281</v>
      </c>
      <c r="F83" s="149"/>
      <c r="G83" s="150"/>
      <c r="H83" s="150"/>
      <c r="I83" s="150"/>
      <c r="J83" s="150"/>
      <c r="K83" s="150"/>
      <c r="L83" s="179"/>
      <c r="M83" s="129">
        <f t="shared" si="2"/>
        <v>0</v>
      </c>
      <c r="N83" s="130">
        <f t="shared" si="3"/>
        <v>0</v>
      </c>
      <c r="O83" s="247"/>
      <c r="P83" s="249"/>
    </row>
    <row r="84" spans="2:16" ht="20.399999999999999" x14ac:dyDescent="0.5">
      <c r="B84" s="246"/>
      <c r="C84" s="246"/>
      <c r="D84" s="172" t="s">
        <v>282</v>
      </c>
      <c r="E84" s="173" t="s">
        <v>283</v>
      </c>
      <c r="F84" s="149"/>
      <c r="G84" s="150"/>
      <c r="H84" s="150"/>
      <c r="I84" s="150"/>
      <c r="J84" s="150"/>
      <c r="K84" s="150"/>
      <c r="L84" s="179"/>
      <c r="M84" s="129">
        <f t="shared" si="2"/>
        <v>0</v>
      </c>
      <c r="N84" s="130">
        <f t="shared" si="3"/>
        <v>0</v>
      </c>
      <c r="O84" s="247"/>
      <c r="P84" s="249"/>
    </row>
    <row r="85" spans="2:16" x14ac:dyDescent="0.5">
      <c r="B85" s="246"/>
      <c r="C85" s="246"/>
      <c r="D85" s="181"/>
      <c r="E85" s="182" t="s">
        <v>284</v>
      </c>
      <c r="F85" s="149"/>
      <c r="G85" s="150"/>
      <c r="H85" s="150"/>
      <c r="I85" s="150"/>
      <c r="J85" s="150"/>
      <c r="K85" s="150"/>
      <c r="L85" s="179"/>
      <c r="M85" s="129">
        <f t="shared" si="2"/>
        <v>0</v>
      </c>
      <c r="N85" s="130">
        <f t="shared" si="3"/>
        <v>0</v>
      </c>
      <c r="O85" s="247"/>
      <c r="P85" s="249"/>
    </row>
    <row r="86" spans="2:16" x14ac:dyDescent="0.5">
      <c r="B86" s="240"/>
      <c r="C86" s="240"/>
      <c r="D86" s="183"/>
      <c r="E86" s="184" t="s">
        <v>285</v>
      </c>
      <c r="F86" s="168"/>
      <c r="G86" s="169"/>
      <c r="H86" s="169"/>
      <c r="I86" s="169"/>
      <c r="J86" s="169"/>
      <c r="K86" s="169"/>
      <c r="L86" s="170"/>
      <c r="M86" s="142">
        <f t="shared" si="2"/>
        <v>0</v>
      </c>
      <c r="N86" s="143">
        <f t="shared" si="3"/>
        <v>0</v>
      </c>
      <c r="O86" s="242"/>
      <c r="P86" s="244"/>
    </row>
    <row r="87" spans="2:16" ht="20.399999999999999" x14ac:dyDescent="0.5">
      <c r="B87" s="239" t="s">
        <v>286</v>
      </c>
      <c r="C87" s="239" t="s">
        <v>287</v>
      </c>
      <c r="D87" s="185" t="s">
        <v>288</v>
      </c>
      <c r="E87" s="145" t="s">
        <v>289</v>
      </c>
      <c r="F87" s="146"/>
      <c r="G87" s="121"/>
      <c r="H87" s="121"/>
      <c r="I87" s="121"/>
      <c r="J87" s="121"/>
      <c r="K87" s="121"/>
      <c r="L87" s="122"/>
      <c r="M87" s="176">
        <f t="shared" si="2"/>
        <v>0</v>
      </c>
      <c r="N87" s="124">
        <f t="shared" si="3"/>
        <v>0</v>
      </c>
      <c r="O87" s="241">
        <f>SUM(M87:M88)</f>
        <v>0</v>
      </c>
      <c r="P87" s="243">
        <f>O87/O91</f>
        <v>0</v>
      </c>
    </row>
    <row r="88" spans="2:16" ht="20.399999999999999" x14ac:dyDescent="0.5">
      <c r="B88" s="240"/>
      <c r="C88" s="240"/>
      <c r="D88" s="174" t="s">
        <v>290</v>
      </c>
      <c r="E88" s="167" t="s">
        <v>291</v>
      </c>
      <c r="F88" s="139"/>
      <c r="G88" s="140"/>
      <c r="H88" s="140"/>
      <c r="I88" s="140"/>
      <c r="J88" s="140"/>
      <c r="K88" s="140"/>
      <c r="L88" s="141"/>
      <c r="M88" s="142">
        <f t="shared" si="2"/>
        <v>0</v>
      </c>
      <c r="N88" s="143">
        <f t="shared" si="3"/>
        <v>0</v>
      </c>
      <c r="O88" s="242"/>
      <c r="P88" s="244"/>
    </row>
    <row r="89" spans="2:16" ht="20.399999999999999" x14ac:dyDescent="0.5">
      <c r="B89" s="137" t="s">
        <v>292</v>
      </c>
      <c r="C89" s="137" t="s">
        <v>293</v>
      </c>
      <c r="D89" s="186" t="s">
        <v>294</v>
      </c>
      <c r="E89" s="187" t="s">
        <v>295</v>
      </c>
      <c r="F89" s="168"/>
      <c r="G89" s="169"/>
      <c r="H89" s="169"/>
      <c r="I89" s="169"/>
      <c r="J89" s="169"/>
      <c r="K89" s="169"/>
      <c r="L89" s="170"/>
      <c r="M89" s="176">
        <f t="shared" si="2"/>
        <v>0</v>
      </c>
      <c r="N89" s="124">
        <f t="shared" si="3"/>
        <v>0</v>
      </c>
      <c r="O89" s="108">
        <f>M89</f>
        <v>0</v>
      </c>
      <c r="P89" s="188">
        <f>O89/O91</f>
        <v>0</v>
      </c>
    </row>
    <row r="90" spans="2:16" ht="20.399999999999999" x14ac:dyDescent="0.5">
      <c r="B90" s="137" t="s">
        <v>296</v>
      </c>
      <c r="C90" s="137" t="s">
        <v>297</v>
      </c>
      <c r="D90" s="189" t="s">
        <v>298</v>
      </c>
      <c r="E90" s="187" t="s">
        <v>299</v>
      </c>
      <c r="F90" s="168"/>
      <c r="G90" s="169"/>
      <c r="H90" s="169"/>
      <c r="I90" s="169"/>
      <c r="J90" s="169"/>
      <c r="K90" s="169"/>
      <c r="L90" s="170"/>
      <c r="M90" s="176">
        <f t="shared" si="2"/>
        <v>0</v>
      </c>
      <c r="N90" s="124">
        <f t="shared" si="3"/>
        <v>0</v>
      </c>
      <c r="O90" s="108">
        <f>M90</f>
        <v>0</v>
      </c>
      <c r="P90" s="188">
        <f>O90/O91</f>
        <v>0</v>
      </c>
    </row>
    <row r="91" spans="2:16" ht="20.399999999999999" x14ac:dyDescent="0.5">
      <c r="B91" s="245" t="s">
        <v>158</v>
      </c>
      <c r="C91" s="245"/>
      <c r="D91" s="240"/>
      <c r="E91" s="240"/>
      <c r="F91" s="190">
        <f>SUM(F6:F90)</f>
        <v>0</v>
      </c>
      <c r="G91" s="190">
        <f t="shared" ref="G91:L91" si="4">SUM(G6:G90)</f>
        <v>0</v>
      </c>
      <c r="H91" s="190">
        <f t="shared" si="4"/>
        <v>0</v>
      </c>
      <c r="I91" s="190">
        <f t="shared" si="4"/>
        <v>0</v>
      </c>
      <c r="J91" s="190">
        <f t="shared" si="4"/>
        <v>0</v>
      </c>
      <c r="K91" s="190">
        <f>SUM(K6:K90)</f>
        <v>0</v>
      </c>
      <c r="L91" s="191">
        <f t="shared" si="4"/>
        <v>45</v>
      </c>
      <c r="M91" s="192">
        <f>SUM(M6:M90)</f>
        <v>45</v>
      </c>
      <c r="N91" s="193">
        <f>SUM(N6:N90)</f>
        <v>0.99999999999999978</v>
      </c>
      <c r="O91" s="190">
        <f>SUM(O6:O90)</f>
        <v>45</v>
      </c>
      <c r="P91" s="194">
        <f>SUM(P6:P90)</f>
        <v>1</v>
      </c>
    </row>
  </sheetData>
  <mergeCells count="36">
    <mergeCell ref="B2:P2"/>
    <mergeCell ref="B3:C5"/>
    <mergeCell ref="D3:E5"/>
    <mergeCell ref="F3:L4"/>
    <mergeCell ref="M3:P3"/>
    <mergeCell ref="M4:N4"/>
    <mergeCell ref="O4:P4"/>
    <mergeCell ref="B6:B13"/>
    <mergeCell ref="C6:C13"/>
    <mergeCell ref="O6:O13"/>
    <mergeCell ref="P6:P13"/>
    <mergeCell ref="B14:B40"/>
    <mergeCell ref="C14:C40"/>
    <mergeCell ref="O14:O40"/>
    <mergeCell ref="P14:P40"/>
    <mergeCell ref="B41:B58"/>
    <mergeCell ref="C41:C58"/>
    <mergeCell ref="O41:O58"/>
    <mergeCell ref="P41:P58"/>
    <mergeCell ref="B59:B68"/>
    <mergeCell ref="C59:C68"/>
    <mergeCell ref="O59:O68"/>
    <mergeCell ref="P59:P68"/>
    <mergeCell ref="B69:B73"/>
    <mergeCell ref="C69:C73"/>
    <mergeCell ref="O69:O73"/>
    <mergeCell ref="P69:P73"/>
    <mergeCell ref="B74:B86"/>
    <mergeCell ref="C74:C86"/>
    <mergeCell ref="O74:O86"/>
    <mergeCell ref="P74:P86"/>
    <mergeCell ref="B87:B88"/>
    <mergeCell ref="C87:C88"/>
    <mergeCell ref="O87:O88"/>
    <mergeCell ref="P87:P88"/>
    <mergeCell ref="B91:E91"/>
  </mergeCells>
  <printOptions horizontalCentered="1"/>
  <pageMargins left="0.31496062992125984" right="0.31496062992125984" top="0.35433070866141736" bottom="0.35433070866141736" header="0.31496062992125984" footer="0.31496062992125984"/>
  <pageSetup paperSize="8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8</vt:i4>
      </vt:variant>
      <vt:variant>
        <vt:lpstr>ช่วงที่มีชื่อ</vt:lpstr>
      </vt:variant>
      <vt:variant>
        <vt:i4>8</vt:i4>
      </vt:variant>
    </vt:vector>
  </HeadingPairs>
  <TitlesOfParts>
    <vt:vector size="16" baseType="lpstr">
      <vt:lpstr>DC หมวด A-D</vt:lpstr>
      <vt:lpstr>Backup</vt:lpstr>
      <vt:lpstr>Feb26</vt:lpstr>
      <vt:lpstr>Mar26</vt:lpstr>
      <vt:lpstr>Apr26</vt:lpstr>
      <vt:lpstr>May26</vt:lpstr>
      <vt:lpstr>Jun26</vt:lpstr>
      <vt:lpstr>Jul26</vt:lpstr>
      <vt:lpstr>'Apr26'!Print_Area</vt:lpstr>
      <vt:lpstr>Backup!Print_Area</vt:lpstr>
      <vt:lpstr>'DC หมวด A-D'!Print_Area</vt:lpstr>
      <vt:lpstr>'Feb26'!Print_Area</vt:lpstr>
      <vt:lpstr>'Jul26'!Print_Area</vt:lpstr>
      <vt:lpstr>'Jun26'!Print_Area</vt:lpstr>
      <vt:lpstr>'Mar26'!Print_Area</vt:lpstr>
      <vt:lpstr>'May26'!Print_Area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Siam Kosiyawat</cp:lastModifiedBy>
  <cp:lastPrinted>2026-07-04T02:17:55Z</cp:lastPrinted>
  <dcterms:created xsi:type="dcterms:W3CDTF">2022-08-24T08:36:56Z</dcterms:created>
  <dcterms:modified xsi:type="dcterms:W3CDTF">2026-07-04T22:04:59Z</dcterms:modified>
</cp:coreProperties>
</file>